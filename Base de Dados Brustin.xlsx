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5CLIENTES - BPO\BRUSTIN STUDIO LTDA\1 BPO FINANCEIRO\8. REPORT FINANCEIRO\Dashboard Financeiro Gerencial\"/>
    </mc:Choice>
  </mc:AlternateContent>
  <xr:revisionPtr revIDLastSave="0" documentId="13_ncr:1_{9E278DC7-6FB3-4682-AF04-A4B661F7E7E8}" xr6:coauthVersionLast="46" xr6:coauthVersionMax="46" xr10:uidLastSave="{00000000-0000-0000-0000-000000000000}"/>
  <bookViews>
    <workbookView xWindow="-20610" yWindow="-120" windowWidth="20730" windowHeight="11040" activeTab="3" xr2:uid="{C97B0DB9-A5AC-4983-B14C-5778AAB891F4}"/>
  </bookViews>
  <sheets>
    <sheet name="Faturamento" sheetId="1" r:id="rId1"/>
    <sheet name="Receita Operacional" sheetId="2" r:id="rId2"/>
    <sheet name="Saldos" sheetId="6" r:id="rId3"/>
    <sheet name="DFC" sheetId="3" r:id="rId4"/>
    <sheet name="Inadimplência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3" l="1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4" i="3"/>
  <c r="I6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B5554B-BE90-4BE2-A39A-17411AFBEF69}" keepAlive="1" name="Consulta - Tabela1" description="Conexão com a consulta 'Tabela1' na pasta de trabalho." type="5" refreshedVersion="6" background="1">
    <dbPr connection="Provider=Microsoft.Mashup.OleDb.1;Data Source=$Workbook$;Location=Tabela1;Extended Properties=&quot;&quot;" command="SELECT * FROM [Tabela1]"/>
  </connection>
  <connection id="2" xr16:uid="{23E3441C-7028-4525-97C5-129159BD2F02}" keepAlive="1" name="Consulta - Tabela1 (2)" description="Conexão com a consulta 'Tabela1 (2)' na pasta de trabalho." type="5" refreshedVersion="6" background="1">
    <dbPr connection="Provider=Microsoft.Mashup.OleDb.1;Data Source=$Workbook$;Location=&quot;Tabela1 (2)&quot;;Extended Properties=&quot;&quot;" command="SELECT * FROM [Tabela1 (2)]"/>
  </connection>
</connections>
</file>

<file path=xl/sharedStrings.xml><?xml version="1.0" encoding="utf-8"?>
<sst xmlns="http://schemas.openxmlformats.org/spreadsheetml/2006/main" count="263" uniqueCount="153">
  <si>
    <t>Data</t>
  </si>
  <si>
    <t>Valor</t>
  </si>
  <si>
    <t>Treinamento realizado</t>
  </si>
  <si>
    <t>Servico de Marketing</t>
  </si>
  <si>
    <t>Consultoria</t>
  </si>
  <si>
    <t>Marketing Digital</t>
  </si>
  <si>
    <t>Mentoria</t>
  </si>
  <si>
    <t>Servicos Prestados</t>
  </si>
  <si>
    <t>Comissao de Vendas</t>
  </si>
  <si>
    <t>Hospedagem de Website</t>
  </si>
  <si>
    <t>Intermediacao de Negocios RD Station</t>
  </si>
  <si>
    <t>Tipo</t>
  </si>
  <si>
    <t>Plano Anual</t>
  </si>
  <si>
    <t>Plano Anual Sem Nf</t>
  </si>
  <si>
    <t>Plano Mensal</t>
  </si>
  <si>
    <t>Plano Mensal Sem Nf</t>
  </si>
  <si>
    <t>Plano Trimestral</t>
  </si>
  <si>
    <t>Plano Trimestral Sem Nf</t>
  </si>
  <si>
    <t>Serviço Pontual</t>
  </si>
  <si>
    <t>Serviço Pontual Sem Nf</t>
  </si>
  <si>
    <t xml:space="preserve">Conta </t>
  </si>
  <si>
    <t>Banco Cora</t>
  </si>
  <si>
    <t>Banco Inter</t>
  </si>
  <si>
    <t>Conta Corrente Inter</t>
  </si>
  <si>
    <t>Conta Corrente Cora</t>
  </si>
  <si>
    <t>CDB Inter</t>
  </si>
  <si>
    <t>Conta Azul PJ</t>
  </si>
  <si>
    <t>CATEGORIAS</t>
  </si>
  <si>
    <t>Saldo do Mês Anterior</t>
  </si>
  <si>
    <t>Total de Recebimentos</t>
  </si>
  <si>
    <t xml:space="preserve">Plano Anual </t>
  </si>
  <si>
    <t>Plano Anual (Sem NF)</t>
  </si>
  <si>
    <t xml:space="preserve">Plano Mensal </t>
  </si>
  <si>
    <t>Plano Mensal (Sem NF)</t>
  </si>
  <si>
    <t xml:space="preserve">Plano Trimestral </t>
  </si>
  <si>
    <t>Plano Trimestral (Sem NF)</t>
  </si>
  <si>
    <t xml:space="preserve">Serviço Pontual </t>
  </si>
  <si>
    <t>Serviço pontual (Sem NF)</t>
  </si>
  <si>
    <t>Rendimentos de Aplicações</t>
  </si>
  <si>
    <t xml:space="preserve">Comissionamento </t>
  </si>
  <si>
    <t>Total de Pagamentos</t>
  </si>
  <si>
    <t>IPTU</t>
  </si>
  <si>
    <t>Taxas e Impostos Tributários</t>
  </si>
  <si>
    <t>Simples Nacional - DAS</t>
  </si>
  <si>
    <t xml:space="preserve">Antecipação de Lucros - Operação </t>
  </si>
  <si>
    <t>Comissões - Operação</t>
  </si>
  <si>
    <t xml:space="preserve">Cursos e Treinamentos -  Operação </t>
  </si>
  <si>
    <t xml:space="preserve">Lanches e Refeições - Operação </t>
  </si>
  <si>
    <t>Materiais Aplicados na Prestação de Serviços</t>
  </si>
  <si>
    <t xml:space="preserve">Remuneração de Autônomos - Operação </t>
  </si>
  <si>
    <t>Sistemas - Operação</t>
  </si>
  <si>
    <t>Vale-Transporte - Operação</t>
  </si>
  <si>
    <t>Vale-Transporte</t>
  </si>
  <si>
    <t>Honorários Contábeis</t>
  </si>
  <si>
    <t>Serviços de Limpeza</t>
  </si>
  <si>
    <t>Telefonia e Internet</t>
  </si>
  <si>
    <t>Transporte Urbano (táxi, Uber)</t>
  </si>
  <si>
    <t>Comissões de Vendedores</t>
  </si>
  <si>
    <t>Marketing e Publicidade</t>
  </si>
  <si>
    <t>Sistemas - Comercial</t>
  </si>
  <si>
    <t>Aluguel</t>
  </si>
  <si>
    <t>Condomínio</t>
  </si>
  <si>
    <t>Energia Elétrica</t>
  </si>
  <si>
    <t>INSS sobre Pró-labore - GPS</t>
  </si>
  <si>
    <t>Pró-labore</t>
  </si>
  <si>
    <t>IOF</t>
  </si>
  <si>
    <t>Impostos sobre Aplicações</t>
  </si>
  <si>
    <t>Tarifas de Boletos</t>
  </si>
  <si>
    <t>Despesas a identificar</t>
  </si>
  <si>
    <t>Software / Licença de Uso</t>
  </si>
  <si>
    <t>Parcelamento do Simples Nacional</t>
  </si>
  <si>
    <t>Compra</t>
  </si>
  <si>
    <t>Geração de Caixa do Período</t>
  </si>
  <si>
    <t>Saldo Final de Caixa</t>
  </si>
  <si>
    <t>Total</t>
  </si>
  <si>
    <t>REALIZADO</t>
  </si>
  <si>
    <t>jan/26</t>
  </si>
  <si>
    <t>fev/26</t>
  </si>
  <si>
    <t>mar/26</t>
  </si>
  <si>
    <t>abr/26</t>
  </si>
  <si>
    <t>mai/26</t>
  </si>
  <si>
    <t>jun/26</t>
  </si>
  <si>
    <t>jul/26</t>
  </si>
  <si>
    <t>FLUXO DE CAIXA BRUSTIN</t>
  </si>
  <si>
    <t>Nome do cliente</t>
  </si>
  <si>
    <t>FASTMETAL INDÚSTRIA E COMÉRCIO</t>
  </si>
  <si>
    <t>ELETRICA DIVINOPOLIS</t>
  </si>
  <si>
    <t>HOTEL VERONA TOWER</t>
  </si>
  <si>
    <t>DA LUA MUDANÇAS</t>
  </si>
  <si>
    <t>WM SHOW'S</t>
  </si>
  <si>
    <t>RENATA PINHEIRO LOYOLA</t>
  </si>
  <si>
    <t>VITALTEC</t>
  </si>
  <si>
    <t>48.506.503 ANA LUIZA MOTA DE AZEVEDO</t>
  </si>
  <si>
    <t>RD GESTAO E SISTEMAS S.A.</t>
  </si>
  <si>
    <t>CARTORIO PRIVATIVO</t>
  </si>
  <si>
    <t>MULHERES CONECTADAS</t>
  </si>
  <si>
    <t>REFRYGERAR</t>
  </si>
  <si>
    <t>BE REALTY LTDA</t>
  </si>
  <si>
    <t>STILO IMOVEIS LTDA</t>
  </si>
  <si>
    <t>ELETRO PEÇAS (ELETRO MUSICAL)</t>
  </si>
  <si>
    <t>MIT MINERAÇAO</t>
  </si>
  <si>
    <t>APICE GESTAO E LOCACAO LTDA</t>
  </si>
  <si>
    <t>LPLM SERVICOS MEDICOS LTDA</t>
  </si>
  <si>
    <t>PLANETA RADICAL COMERCIO</t>
  </si>
  <si>
    <t>ESCOLA ARCO IRIS</t>
  </si>
  <si>
    <t>Data de vencimento</t>
  </si>
  <si>
    <t>05/01/2024</t>
  </si>
  <si>
    <t>08/01/2024</t>
  </si>
  <si>
    <t>20/03/2024</t>
  </si>
  <si>
    <t>15/04/2024</t>
  </si>
  <si>
    <t>05/01/2025</t>
  </si>
  <si>
    <t>08/01/2025</t>
  </si>
  <si>
    <t>02/08/2025</t>
  </si>
  <si>
    <t>03/10/2025</t>
  </si>
  <si>
    <t>01/11/2025</t>
  </si>
  <si>
    <t>10/11/2025</t>
  </si>
  <si>
    <t>19/02/2026</t>
  </si>
  <si>
    <t>05/03/2026</t>
  </si>
  <si>
    <t>07/03/2026</t>
  </si>
  <si>
    <t>10/03/2026</t>
  </si>
  <si>
    <t>20/03/2026</t>
  </si>
  <si>
    <t>02/04/2026</t>
  </si>
  <si>
    <t>11/04/2026</t>
  </si>
  <si>
    <t>15/04/2026</t>
  </si>
  <si>
    <t>20/04/2026</t>
  </si>
  <si>
    <t>05/05/2026</t>
  </si>
  <si>
    <t>15/05/2026</t>
  </si>
  <si>
    <t>20/05/2026</t>
  </si>
  <si>
    <t>28/05/2026</t>
  </si>
  <si>
    <t>05/06/2026</t>
  </si>
  <si>
    <t>20/06/2026</t>
  </si>
  <si>
    <t>05/07/2026</t>
  </si>
  <si>
    <t>09/07/2026</t>
  </si>
  <si>
    <t>15/07/2026</t>
  </si>
  <si>
    <t>20/07/2026</t>
  </si>
  <si>
    <t>02/08/2026</t>
  </si>
  <si>
    <t>05/08/2026</t>
  </si>
  <si>
    <t>A1 - AVALIACOES, NEGOCIOS IMOBILIARIOS</t>
  </si>
  <si>
    <t>3.1 Receitas de Vendas e de Serviços</t>
  </si>
  <si>
    <t>3.2 Receitas Financeiras</t>
  </si>
  <si>
    <t xml:space="preserve">4.0 Despesas Tributárias </t>
  </si>
  <si>
    <t>4.1 Impostos sobre Vendas e sobre Serviços</t>
  </si>
  <si>
    <t>4.2 Custos e Despesas sobre Serviços</t>
  </si>
  <si>
    <t>4.3 Despesas com Colaboradores</t>
  </si>
  <si>
    <t>4.4 Despesas Administrativas</t>
  </si>
  <si>
    <t>4.5 Despesas Comerciais</t>
  </si>
  <si>
    <t>4.6 Despesas com Imóvel</t>
  </si>
  <si>
    <t>4.7 Despesas com Diretoria</t>
  </si>
  <si>
    <t>4.8 Despesas Financeiras</t>
  </si>
  <si>
    <t>4.9 Outras Despesas</t>
  </si>
  <si>
    <t>5.0 Bens Imobilizados da Empresa</t>
  </si>
  <si>
    <t>5.1 Parcelamentos e Dívidas</t>
  </si>
  <si>
    <t>3.3 Outras Receitas e 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</si>
</sst>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8" fontId="0" fillId="0" borderId="0" xfId="0" applyNumberFormat="1"/>
    <xf numFmtId="43" fontId="0" fillId="0" borderId="0" xfId="1" applyFont="1"/>
    <xf numFmtId="0" fontId="0" fillId="0" borderId="0" xfId="0" applyAlignment="1">
      <alignment horizontal="left" vertical="center"/>
    </xf>
    <xf numFmtId="17" fontId="0" fillId="0" borderId="0" xfId="0" applyNumberFormat="1" applyAlignment="1">
      <alignment horizontal="left" vertical="center"/>
    </xf>
    <xf numFmtId="0" fontId="2" fillId="0" borderId="0" xfId="0" applyFont="1"/>
    <xf numFmtId="43" fontId="0" fillId="0" borderId="0" xfId="1" applyFont="1" applyBorder="1"/>
    <xf numFmtId="43" fontId="2" fillId="0" borderId="0" xfId="1" applyFont="1" applyBorder="1"/>
    <xf numFmtId="43" fontId="2" fillId="2" borderId="4" xfId="0" applyNumberFormat="1" applyFont="1" applyFill="1" applyBorder="1"/>
    <xf numFmtId="43" fontId="0" fillId="2" borderId="4" xfId="0" applyNumberFormat="1" applyFill="1" applyBorder="1"/>
    <xf numFmtId="43" fontId="2" fillId="0" borderId="6" xfId="1" applyFont="1" applyBorder="1"/>
    <xf numFmtId="17" fontId="0" fillId="4" borderId="0" xfId="1" applyNumberFormat="1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2" fillId="0" borderId="8" xfId="0" applyFont="1" applyBorder="1"/>
    <xf numFmtId="43" fontId="0" fillId="0" borderId="2" xfId="1" applyFont="1" applyBorder="1"/>
    <xf numFmtId="0" fontId="0" fillId="3" borderId="9" xfId="0" applyFill="1" applyBorder="1"/>
    <xf numFmtId="0" fontId="2" fillId="0" borderId="3" xfId="0" applyFont="1" applyBorder="1"/>
    <xf numFmtId="0" fontId="0" fillId="0" borderId="3" xfId="0" applyBorder="1"/>
    <xf numFmtId="0" fontId="2" fillId="2" borderId="3" xfId="0" applyFont="1" applyFill="1" applyBorder="1"/>
    <xf numFmtId="0" fontId="2" fillId="2" borderId="5" xfId="0" applyFont="1" applyFill="1" applyBorder="1"/>
    <xf numFmtId="0" fontId="2" fillId="3" borderId="7" xfId="0" applyFont="1" applyFill="1" applyBorder="1"/>
    <xf numFmtId="0" fontId="2" fillId="0" borderId="1" xfId="0" applyFont="1" applyBorder="1" applyAlignment="1">
      <alignment vertical="center"/>
    </xf>
    <xf numFmtId="0" fontId="0" fillId="4" borderId="0" xfId="0" applyFill="1" applyAlignment="1">
      <alignment vertical="center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  <fill>
        <patternFill patternType="solid">
          <fgColor indexed="64"/>
          <bgColor theme="0" tint="-0.34998626667073579"/>
        </patternFill>
      </fill>
      <border diagonalUp="0" diagonalDown="0">
        <left/>
        <right style="thin">
          <color theme="0" tint="-0.1499984740745262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theme="0" tint="-0.1499984740745262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/yy"/>
      <fill>
        <patternFill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2" formatCode="mmm/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2" formatCode="mmm/yy"/>
      <alignment horizontal="left" vertical="center" textRotation="0" wrapText="0" indent="0" justifyLastLine="0" shrinkToFit="0" readingOrder="0"/>
    </dxf>
    <dxf>
      <numFmt numFmtId="12" formatCode="&quot;R$&quot;\ #,##0.00;[Red]\-&quot;R$&quot;\ #,##0.00"/>
    </dxf>
    <dxf>
      <numFmt numFmtId="22" formatCode="mmm/yy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A9602E-D016-4B65-9521-8A3A4024D03F}" name="Tabela1" displayName="Tabela1" ref="A1:C38" totalsRowShown="0">
  <autoFilter ref="A1:C38" xr:uid="{B0EC5080-3197-42A5-877C-501821317B25}"/>
  <sortState xmlns:xlrd2="http://schemas.microsoft.com/office/spreadsheetml/2017/richdata2" ref="A2:C38">
    <sortCondition ref="A1:A38"/>
  </sortState>
  <tableColumns count="3">
    <tableColumn id="1" xr3:uid="{3598F562-9DE6-4B15-A137-5F4DF0014FE9}" name="Data" dataDxfId="24"/>
    <tableColumn id="2" xr3:uid="{2894A2B4-CF8B-4986-917A-EDD9D9C79962}" name="Tipo"/>
    <tableColumn id="3" xr3:uid="{29947160-E861-4DDA-8351-28A4776B5405}" name="Valor" dataDxfId="23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D25BC0-AF02-42FE-BD28-DD01893FC9CB}" name="Tabela2" displayName="Tabela2" ref="A1:C43" totalsRowShown="0">
  <autoFilter ref="A1:C43" xr:uid="{A5DF1C11-A191-4A1E-B9DE-8C3C6BF509CC}"/>
  <tableColumns count="3">
    <tableColumn id="1" xr3:uid="{C5C1207A-92F5-4C49-8DD9-82F1ABBEE5F9}" name="Data" dataDxfId="22"/>
    <tableColumn id="2" xr3:uid="{9302F744-622E-496B-AA4B-0E69D28114D6}" name="Tipo"/>
    <tableColumn id="3" xr3:uid="{9D8E2AB0-09B9-419E-81AC-F533B1930324}" name="Valor" dataDxfId="21" dataCellStyle="Vírgula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CB66C3-19CC-4D8B-92BB-BC11D25308ED}" name="Tabela3" displayName="Tabela3" ref="A1:C29" totalsRowShown="0">
  <autoFilter ref="A1:C29" xr:uid="{A95FDD22-B0F7-4A21-8B0B-500A9AD0B105}"/>
  <tableColumns count="3">
    <tableColumn id="1" xr3:uid="{18EC3ED5-31C5-4054-B7E3-085A86950CCC}" name="Data" dataDxfId="20"/>
    <tableColumn id="2" xr3:uid="{E1F83A4D-E48B-4009-A8E5-ED925076D1F6}" name="Conta "/>
    <tableColumn id="3" xr3:uid="{A0C1DB57-0182-4756-A254-38A482BCAD49}" name="Valor" dataDxfId="19" dataCellStyle="Vírgula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DAC3B0-DF20-4693-8D9E-28CC251F4D22}" name="Tabela5" displayName="Tabela5" ref="A2:I63" totalsRowShown="0" headerRowDxfId="12" dataDxfId="11" headerRowCellStyle="Vírgula" dataCellStyle="Vírgula">
  <tableColumns count="9">
    <tableColumn id="1" xr3:uid="{740CC65B-3C64-4E78-8E75-C45FCAA1AB94}" name="CATEGORIAS" dataDxfId="10"/>
    <tableColumn id="2" xr3:uid="{7C20EC52-BF7B-4CAC-B40D-268D8ABC3A62}" name="jan/26" dataDxfId="9" dataCellStyle="Vírgula"/>
    <tableColumn id="3" xr3:uid="{5B803FF3-94A2-4350-B1CC-86D55FE1C8B4}" name="fev/26" dataDxfId="8" dataCellStyle="Vírgula"/>
    <tableColumn id="4" xr3:uid="{9C84FB56-A1B1-40A1-88A5-059AE2B7BA6C}" name="mar/26" dataDxfId="7" dataCellStyle="Vírgula"/>
    <tableColumn id="5" xr3:uid="{5EBCAB6E-A954-40CC-98B9-F3FC0C030558}" name="abr/26" dataDxfId="6" dataCellStyle="Vírgula"/>
    <tableColumn id="6" xr3:uid="{A9EF0A26-C471-4F7A-BBCB-512A4FA2505E}" name="mai/26" dataDxfId="5" dataCellStyle="Vírgula"/>
    <tableColumn id="7" xr3:uid="{593FB41B-AF0D-40EB-84D3-A031A3F173F7}" name="jun/26" dataDxfId="4" dataCellStyle="Vírgula"/>
    <tableColumn id="8" xr3:uid="{CFA9D0FE-6BDA-41E3-AF61-D45F63D2807D}" name="jul/26" dataDxfId="3" dataCellStyle="Vírgula"/>
    <tableColumn id="9" xr3:uid="{C76535E6-B9F3-4E64-AB43-46164C127D56}" name="Total" dataDxfId="2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1AE15D-5029-4BFF-8211-07D97F1661AC}" name="Tabela6" displayName="Tabela6" ref="A1:C38" totalsRowShown="0" headerRowDxfId="1">
  <autoFilter ref="A1:C38" xr:uid="{0FFC981E-8B58-4ED8-98BE-241CC6F67DB0}"/>
  <tableColumns count="3">
    <tableColumn id="1" xr3:uid="{F395A67E-61C0-40D0-B0BB-8F65BFD8482B}" name="Nome do cliente"/>
    <tableColumn id="2" xr3:uid="{F297CB4C-EAEF-42CE-B174-2198733F76C7}" name="Data de vencimento"/>
    <tableColumn id="3" xr3:uid="{30708C0F-BD38-4597-ACC1-B7F6ED5A3C58}" name="Valor" dataDxfId="0" dataCellStyle="Vírgula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CE9E-F961-42C5-A325-CA319DE6D718}">
  <dimension ref="A1:C38"/>
  <sheetViews>
    <sheetView showGridLines="0" workbookViewId="0">
      <selection activeCell="F14" sqref="F14"/>
    </sheetView>
  </sheetViews>
  <sheetFormatPr defaultRowHeight="15" x14ac:dyDescent="0.25"/>
  <cols>
    <col min="1" max="1" width="10.140625" customWidth="1"/>
    <col min="2" max="2" width="38.7109375" customWidth="1"/>
    <col min="3" max="3" width="15.140625" customWidth="1"/>
  </cols>
  <sheetData>
    <row r="1" spans="1:3" x14ac:dyDescent="0.25">
      <c r="A1" t="s">
        <v>0</v>
      </c>
      <c r="B1" t="s">
        <v>11</v>
      </c>
      <c r="C1" t="s">
        <v>1</v>
      </c>
    </row>
    <row r="2" spans="1:3" x14ac:dyDescent="0.25">
      <c r="A2" s="4">
        <v>46023</v>
      </c>
      <c r="B2" t="s">
        <v>4</v>
      </c>
      <c r="C2" s="1">
        <v>3440</v>
      </c>
    </row>
    <row r="3" spans="1:3" x14ac:dyDescent="0.25">
      <c r="A3" s="4">
        <v>46028</v>
      </c>
      <c r="B3" t="s">
        <v>6</v>
      </c>
      <c r="C3" s="1">
        <v>3100</v>
      </c>
    </row>
    <row r="4" spans="1:3" x14ac:dyDescent="0.25">
      <c r="A4" s="4">
        <v>46028</v>
      </c>
      <c r="B4" t="s">
        <v>5</v>
      </c>
      <c r="C4" s="1">
        <v>1390</v>
      </c>
    </row>
    <row r="5" spans="1:3" x14ac:dyDescent="0.25">
      <c r="A5" s="4">
        <v>46028</v>
      </c>
      <c r="B5" t="s">
        <v>3</v>
      </c>
      <c r="C5" s="1">
        <v>913.5</v>
      </c>
    </row>
    <row r="6" spans="1:3" x14ac:dyDescent="0.25">
      <c r="A6" s="4">
        <v>46043</v>
      </c>
      <c r="B6" t="s">
        <v>9</v>
      </c>
      <c r="C6" s="1">
        <v>553.5</v>
      </c>
    </row>
    <row r="7" spans="1:3" x14ac:dyDescent="0.25">
      <c r="A7" s="4">
        <v>46050</v>
      </c>
      <c r="B7" t="s">
        <v>7</v>
      </c>
      <c r="C7" s="1">
        <v>360</v>
      </c>
    </row>
    <row r="8" spans="1:3" x14ac:dyDescent="0.25">
      <c r="A8" s="4">
        <v>46054</v>
      </c>
      <c r="B8" t="s">
        <v>4</v>
      </c>
      <c r="C8" s="1">
        <v>3440</v>
      </c>
    </row>
    <row r="9" spans="1:3" x14ac:dyDescent="0.25">
      <c r="A9" s="4">
        <v>46055</v>
      </c>
      <c r="B9" t="s">
        <v>6</v>
      </c>
      <c r="C9" s="1">
        <v>3100</v>
      </c>
    </row>
    <row r="10" spans="1:3" x14ac:dyDescent="0.25">
      <c r="A10" s="4">
        <v>46056</v>
      </c>
      <c r="B10" t="s">
        <v>5</v>
      </c>
      <c r="C10" s="1">
        <v>1390</v>
      </c>
    </row>
    <row r="11" spans="1:3" x14ac:dyDescent="0.25">
      <c r="A11" s="4">
        <v>46058</v>
      </c>
      <c r="B11" t="s">
        <v>3</v>
      </c>
      <c r="C11" s="1">
        <v>999.5</v>
      </c>
    </row>
    <row r="12" spans="1:3" x14ac:dyDescent="0.25">
      <c r="A12" s="4">
        <v>46072</v>
      </c>
      <c r="B12" t="s">
        <v>10</v>
      </c>
      <c r="C12" s="1">
        <v>3506.2</v>
      </c>
    </row>
    <row r="13" spans="1:3" x14ac:dyDescent="0.25">
      <c r="A13" s="4">
        <v>46077</v>
      </c>
      <c r="B13" t="s">
        <v>7</v>
      </c>
      <c r="C13" s="1">
        <v>399.5</v>
      </c>
    </row>
    <row r="14" spans="1:3" x14ac:dyDescent="0.25">
      <c r="A14" s="4">
        <v>46082</v>
      </c>
      <c r="B14" t="s">
        <v>4</v>
      </c>
      <c r="C14" s="1">
        <v>3440</v>
      </c>
    </row>
    <row r="15" spans="1:3" x14ac:dyDescent="0.25">
      <c r="A15" s="4">
        <v>46083</v>
      </c>
      <c r="B15" t="s">
        <v>6</v>
      </c>
      <c r="C15" s="1">
        <v>3100</v>
      </c>
    </row>
    <row r="16" spans="1:3" x14ac:dyDescent="0.25">
      <c r="A16" s="4">
        <v>46083</v>
      </c>
      <c r="B16" t="s">
        <v>5</v>
      </c>
      <c r="C16" s="1">
        <v>1390</v>
      </c>
    </row>
    <row r="17" spans="1:3" x14ac:dyDescent="0.25">
      <c r="A17" s="4">
        <v>46083</v>
      </c>
      <c r="B17" t="s">
        <v>3</v>
      </c>
      <c r="C17" s="1">
        <v>999.5</v>
      </c>
    </row>
    <row r="18" spans="1:3" x14ac:dyDescent="0.25">
      <c r="A18" s="4">
        <v>46113</v>
      </c>
      <c r="B18" t="s">
        <v>5</v>
      </c>
      <c r="C18" s="1">
        <v>1390</v>
      </c>
    </row>
    <row r="19" spans="1:3" x14ac:dyDescent="0.25">
      <c r="A19" s="4">
        <v>46113</v>
      </c>
      <c r="B19" t="s">
        <v>6</v>
      </c>
      <c r="C19" s="1">
        <v>3100</v>
      </c>
    </row>
    <row r="20" spans="1:3" x14ac:dyDescent="0.25">
      <c r="A20" s="4">
        <v>46113</v>
      </c>
      <c r="B20" t="s">
        <v>4</v>
      </c>
      <c r="C20" s="1">
        <v>3440</v>
      </c>
    </row>
    <row r="21" spans="1:3" x14ac:dyDescent="0.25">
      <c r="A21" s="4">
        <v>46113</v>
      </c>
      <c r="B21" t="s">
        <v>3</v>
      </c>
      <c r="C21" s="1">
        <v>999.5</v>
      </c>
    </row>
    <row r="22" spans="1:3" x14ac:dyDescent="0.25">
      <c r="A22" s="4">
        <v>46119</v>
      </c>
      <c r="B22" t="s">
        <v>8</v>
      </c>
      <c r="C22" s="1">
        <v>417.64</v>
      </c>
    </row>
    <row r="23" spans="1:3" x14ac:dyDescent="0.25">
      <c r="A23" s="4">
        <v>46146</v>
      </c>
      <c r="B23" t="s">
        <v>6</v>
      </c>
      <c r="C23" s="1">
        <v>3100</v>
      </c>
    </row>
    <row r="24" spans="1:3" x14ac:dyDescent="0.25">
      <c r="A24" s="4">
        <v>46146</v>
      </c>
      <c r="B24" t="s">
        <v>5</v>
      </c>
      <c r="C24" s="1">
        <v>1390</v>
      </c>
    </row>
    <row r="25" spans="1:3" x14ac:dyDescent="0.25">
      <c r="A25" s="4">
        <v>46146</v>
      </c>
      <c r="B25" t="s">
        <v>4</v>
      </c>
      <c r="C25" s="1">
        <v>3440</v>
      </c>
    </row>
    <row r="26" spans="1:3" x14ac:dyDescent="0.25">
      <c r="A26" s="4">
        <v>46146</v>
      </c>
      <c r="B26" t="s">
        <v>3</v>
      </c>
      <c r="C26" s="1">
        <v>999.5</v>
      </c>
    </row>
    <row r="27" spans="1:3" x14ac:dyDescent="0.25">
      <c r="A27" s="4">
        <v>46162</v>
      </c>
      <c r="B27" t="s">
        <v>10</v>
      </c>
      <c r="C27" s="1">
        <v>208.82</v>
      </c>
    </row>
    <row r="28" spans="1:3" x14ac:dyDescent="0.25">
      <c r="A28" s="4">
        <v>46162</v>
      </c>
      <c r="B28" t="s">
        <v>2</v>
      </c>
      <c r="C28" s="1">
        <v>1760</v>
      </c>
    </row>
    <row r="29" spans="1:3" x14ac:dyDescent="0.25">
      <c r="A29" s="4">
        <v>46174</v>
      </c>
      <c r="B29" t="s">
        <v>6</v>
      </c>
      <c r="C29" s="1">
        <v>3100</v>
      </c>
    </row>
    <row r="30" spans="1:3" x14ac:dyDescent="0.25">
      <c r="A30" s="4">
        <v>46174</v>
      </c>
      <c r="B30" t="s">
        <v>5</v>
      </c>
      <c r="C30" s="1">
        <v>1390</v>
      </c>
    </row>
    <row r="31" spans="1:3" x14ac:dyDescent="0.25">
      <c r="A31" s="4">
        <v>46174</v>
      </c>
      <c r="B31" t="s">
        <v>4</v>
      </c>
      <c r="C31" s="1">
        <v>3440</v>
      </c>
    </row>
    <row r="32" spans="1:3" x14ac:dyDescent="0.25">
      <c r="A32" s="4">
        <v>46174</v>
      </c>
      <c r="B32" t="s">
        <v>3</v>
      </c>
      <c r="C32" s="1">
        <v>999.5</v>
      </c>
    </row>
    <row r="33" spans="1:3" x14ac:dyDescent="0.25">
      <c r="A33" s="4">
        <v>46192</v>
      </c>
      <c r="B33" t="s">
        <v>6</v>
      </c>
      <c r="C33" s="1">
        <v>3100</v>
      </c>
    </row>
    <row r="34" spans="1:3" x14ac:dyDescent="0.25">
      <c r="A34" s="4">
        <v>46197</v>
      </c>
      <c r="B34" t="s">
        <v>2</v>
      </c>
      <c r="C34" s="1">
        <v>1760</v>
      </c>
    </row>
    <row r="35" spans="1:3" x14ac:dyDescent="0.25">
      <c r="A35" s="4">
        <v>46204</v>
      </c>
      <c r="B35" t="s">
        <v>5</v>
      </c>
      <c r="C35" s="1">
        <v>1390</v>
      </c>
    </row>
    <row r="36" spans="1:3" x14ac:dyDescent="0.25">
      <c r="A36" s="4">
        <v>46204</v>
      </c>
      <c r="B36" t="s">
        <v>4</v>
      </c>
      <c r="C36" s="1">
        <v>3440</v>
      </c>
    </row>
    <row r="37" spans="1:3" x14ac:dyDescent="0.25">
      <c r="A37" s="4">
        <v>46204</v>
      </c>
      <c r="B37" t="s">
        <v>3</v>
      </c>
      <c r="C37" s="1">
        <v>999.5</v>
      </c>
    </row>
    <row r="38" spans="1:3" x14ac:dyDescent="0.25">
      <c r="A38" s="4">
        <v>46220</v>
      </c>
      <c r="B38" t="s">
        <v>6</v>
      </c>
      <c r="C38" s="1">
        <v>3100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7581-714E-4349-BC9E-1DF4C5F34294}">
  <dimension ref="A1:C43"/>
  <sheetViews>
    <sheetView showGridLines="0" workbookViewId="0">
      <selection activeCell="F48" sqref="F48"/>
    </sheetView>
  </sheetViews>
  <sheetFormatPr defaultRowHeight="15" x14ac:dyDescent="0.25"/>
  <cols>
    <col min="1" max="1" width="9.140625" style="3"/>
    <col min="2" max="2" width="23.140625" customWidth="1"/>
    <col min="3" max="3" width="9.5703125" bestFit="1" customWidth="1"/>
  </cols>
  <sheetData>
    <row r="1" spans="1:3" x14ac:dyDescent="0.25">
      <c r="A1" s="3" t="s">
        <v>0</v>
      </c>
      <c r="B1" t="s">
        <v>11</v>
      </c>
      <c r="C1" t="s">
        <v>1</v>
      </c>
    </row>
    <row r="2" spans="1:3" x14ac:dyDescent="0.25">
      <c r="A2" s="4">
        <v>46023</v>
      </c>
      <c r="C2" s="2">
        <v>0</v>
      </c>
    </row>
    <row r="3" spans="1:3" x14ac:dyDescent="0.25">
      <c r="A3" s="4">
        <v>46054</v>
      </c>
      <c r="C3" s="2">
        <v>0</v>
      </c>
    </row>
    <row r="4" spans="1:3" x14ac:dyDescent="0.25">
      <c r="A4" s="4">
        <v>46082</v>
      </c>
      <c r="B4" t="s">
        <v>12</v>
      </c>
      <c r="C4" s="2">
        <v>5095.6099999999997</v>
      </c>
    </row>
    <row r="5" spans="1:3" x14ac:dyDescent="0.25">
      <c r="A5" s="4">
        <v>46082</v>
      </c>
      <c r="B5" t="s">
        <v>13</v>
      </c>
      <c r="C5" s="2">
        <v>517.80999999999995</v>
      </c>
    </row>
    <row r="6" spans="1:3" x14ac:dyDescent="0.25">
      <c r="A6" s="4">
        <v>46082</v>
      </c>
      <c r="B6" t="s">
        <v>14</v>
      </c>
      <c r="C6" s="2">
        <v>9772.4699999999993</v>
      </c>
    </row>
    <row r="7" spans="1:3" x14ac:dyDescent="0.25">
      <c r="A7" s="4">
        <v>46082</v>
      </c>
      <c r="B7" t="s">
        <v>15</v>
      </c>
      <c r="C7" s="2">
        <v>497.81</v>
      </c>
    </row>
    <row r="8" spans="1:3" x14ac:dyDescent="0.25">
      <c r="A8" s="4">
        <v>46082</v>
      </c>
      <c r="B8" t="s">
        <v>16</v>
      </c>
      <c r="C8" s="2">
        <v>195.15</v>
      </c>
    </row>
    <row r="9" spans="1:3" x14ac:dyDescent="0.25">
      <c r="A9" s="4">
        <v>46082</v>
      </c>
      <c r="B9" t="s">
        <v>17</v>
      </c>
      <c r="C9" s="2">
        <v>0</v>
      </c>
    </row>
    <row r="10" spans="1:3" x14ac:dyDescent="0.25">
      <c r="A10" s="4">
        <v>46082</v>
      </c>
      <c r="B10" t="s">
        <v>18</v>
      </c>
      <c r="C10" s="2">
        <v>7992.12</v>
      </c>
    </row>
    <row r="11" spans="1:3" x14ac:dyDescent="0.25">
      <c r="A11" s="4">
        <v>46082</v>
      </c>
      <c r="B11" t="s">
        <v>19</v>
      </c>
      <c r="C11" s="2">
        <v>0</v>
      </c>
    </row>
    <row r="12" spans="1:3" x14ac:dyDescent="0.25">
      <c r="A12" s="4">
        <v>46113</v>
      </c>
      <c r="B12" t="s">
        <v>12</v>
      </c>
      <c r="C12" s="2">
        <v>0</v>
      </c>
    </row>
    <row r="13" spans="1:3" x14ac:dyDescent="0.25">
      <c r="A13" s="4">
        <v>46113</v>
      </c>
      <c r="B13" t="s">
        <v>13</v>
      </c>
      <c r="C13" s="2">
        <v>1918.21</v>
      </c>
    </row>
    <row r="14" spans="1:3" x14ac:dyDescent="0.25">
      <c r="A14" s="4">
        <v>46113</v>
      </c>
      <c r="B14" t="s">
        <v>14</v>
      </c>
      <c r="C14" s="2">
        <v>5159.9399999999996</v>
      </c>
    </row>
    <row r="15" spans="1:3" x14ac:dyDescent="0.25">
      <c r="A15" s="4">
        <v>46113</v>
      </c>
      <c r="B15" t="s">
        <v>15</v>
      </c>
      <c r="C15" s="2">
        <v>1991.44</v>
      </c>
    </row>
    <row r="16" spans="1:3" x14ac:dyDescent="0.25">
      <c r="A16" s="4">
        <v>46113</v>
      </c>
      <c r="B16" t="s">
        <v>16</v>
      </c>
      <c r="C16" s="2">
        <v>0</v>
      </c>
    </row>
    <row r="17" spans="1:3" x14ac:dyDescent="0.25">
      <c r="A17" s="4">
        <v>46113</v>
      </c>
      <c r="B17" t="s">
        <v>17</v>
      </c>
      <c r="C17" s="2">
        <v>916.77</v>
      </c>
    </row>
    <row r="18" spans="1:3" x14ac:dyDescent="0.25">
      <c r="A18" s="4">
        <v>46113</v>
      </c>
      <c r="B18" t="s">
        <v>18</v>
      </c>
      <c r="C18" s="2">
        <v>3097.81</v>
      </c>
    </row>
    <row r="19" spans="1:3" x14ac:dyDescent="0.25">
      <c r="A19" s="4">
        <v>46113</v>
      </c>
      <c r="B19" t="s">
        <v>19</v>
      </c>
      <c r="C19" s="2">
        <v>3097.81</v>
      </c>
    </row>
    <row r="20" spans="1:3" x14ac:dyDescent="0.25">
      <c r="A20" s="4">
        <v>46143</v>
      </c>
      <c r="B20" t="s">
        <v>12</v>
      </c>
      <c r="C20" s="2">
        <v>0</v>
      </c>
    </row>
    <row r="21" spans="1:3" x14ac:dyDescent="0.25">
      <c r="A21" s="4">
        <v>46143</v>
      </c>
      <c r="B21" t="s">
        <v>13</v>
      </c>
      <c r="C21" s="2">
        <v>720</v>
      </c>
    </row>
    <row r="22" spans="1:3" x14ac:dyDescent="0.25">
      <c r="A22" s="4">
        <v>46143</v>
      </c>
      <c r="B22" t="s">
        <v>14</v>
      </c>
      <c r="C22" s="2">
        <v>8519.94</v>
      </c>
    </row>
    <row r="23" spans="1:3" x14ac:dyDescent="0.25">
      <c r="A23" s="4">
        <v>46143</v>
      </c>
      <c r="B23" t="s">
        <v>15</v>
      </c>
      <c r="C23" s="2">
        <v>3991.44</v>
      </c>
    </row>
    <row r="24" spans="1:3" x14ac:dyDescent="0.25">
      <c r="A24" s="4">
        <v>46143</v>
      </c>
      <c r="B24" t="s">
        <v>16</v>
      </c>
      <c r="C24" s="2">
        <v>0</v>
      </c>
    </row>
    <row r="25" spans="1:3" x14ac:dyDescent="0.25">
      <c r="A25" s="4">
        <v>46143</v>
      </c>
      <c r="B25" t="s">
        <v>17</v>
      </c>
      <c r="C25" s="2">
        <v>0</v>
      </c>
    </row>
    <row r="26" spans="1:3" x14ac:dyDescent="0.25">
      <c r="A26" s="4">
        <v>46143</v>
      </c>
      <c r="B26" t="s">
        <v>18</v>
      </c>
      <c r="C26" s="2">
        <v>4852.63</v>
      </c>
    </row>
    <row r="27" spans="1:3" x14ac:dyDescent="0.25">
      <c r="A27" s="4">
        <v>46143</v>
      </c>
      <c r="B27" t="s">
        <v>19</v>
      </c>
      <c r="C27" s="2">
        <v>6095.62</v>
      </c>
    </row>
    <row r="28" spans="1:3" x14ac:dyDescent="0.25">
      <c r="A28" s="4">
        <v>46174</v>
      </c>
      <c r="B28" t="s">
        <v>12</v>
      </c>
      <c r="C28" s="2">
        <v>0</v>
      </c>
    </row>
    <row r="29" spans="1:3" x14ac:dyDescent="0.25">
      <c r="A29" s="4">
        <v>46174</v>
      </c>
      <c r="B29" t="s">
        <v>13</v>
      </c>
      <c r="C29" s="2">
        <v>753.26</v>
      </c>
    </row>
    <row r="30" spans="1:3" x14ac:dyDescent="0.25">
      <c r="A30" s="4">
        <v>46174</v>
      </c>
      <c r="B30" t="s">
        <v>14</v>
      </c>
      <c r="C30" s="2">
        <v>5994.76</v>
      </c>
    </row>
    <row r="31" spans="1:3" x14ac:dyDescent="0.25">
      <c r="A31" s="4">
        <v>46174</v>
      </c>
      <c r="B31" t="s">
        <v>15</v>
      </c>
      <c r="C31" s="2">
        <v>1493.63</v>
      </c>
    </row>
    <row r="32" spans="1:3" x14ac:dyDescent="0.25">
      <c r="A32" s="4">
        <v>46174</v>
      </c>
      <c r="B32" t="s">
        <v>16</v>
      </c>
      <c r="C32" s="2">
        <v>195.15</v>
      </c>
    </row>
    <row r="33" spans="1:3" x14ac:dyDescent="0.25">
      <c r="A33" s="4">
        <v>46174</v>
      </c>
      <c r="B33" t="s">
        <v>17</v>
      </c>
      <c r="C33" s="2">
        <v>0</v>
      </c>
    </row>
    <row r="34" spans="1:3" x14ac:dyDescent="0.25">
      <c r="A34" s="4">
        <v>46174</v>
      </c>
      <c r="B34" t="s">
        <v>18</v>
      </c>
      <c r="C34" s="2">
        <v>7900.63</v>
      </c>
    </row>
    <row r="35" spans="1:3" x14ac:dyDescent="0.25">
      <c r="A35" s="4">
        <v>46174</v>
      </c>
      <c r="B35" t="s">
        <v>19</v>
      </c>
      <c r="C35" s="2">
        <v>2994.82</v>
      </c>
    </row>
    <row r="36" spans="1:3" x14ac:dyDescent="0.25">
      <c r="A36" s="4">
        <v>46204</v>
      </c>
      <c r="B36" t="s">
        <v>12</v>
      </c>
      <c r="C36" s="2">
        <v>553.5</v>
      </c>
    </row>
    <row r="37" spans="1:3" x14ac:dyDescent="0.25">
      <c r="A37" s="4">
        <v>46204</v>
      </c>
      <c r="B37" t="s">
        <v>13</v>
      </c>
      <c r="C37" s="2">
        <v>1834.64</v>
      </c>
    </row>
    <row r="38" spans="1:3" x14ac:dyDescent="0.25">
      <c r="A38" s="4">
        <v>46204</v>
      </c>
      <c r="B38" t="s">
        <v>14</v>
      </c>
      <c r="C38" s="2">
        <v>5994.76</v>
      </c>
    </row>
    <row r="39" spans="1:3" x14ac:dyDescent="0.25">
      <c r="A39" s="4">
        <v>46204</v>
      </c>
      <c r="B39" t="s">
        <v>15</v>
      </c>
      <c r="C39" s="2">
        <v>1493.63</v>
      </c>
    </row>
    <row r="40" spans="1:3" x14ac:dyDescent="0.25">
      <c r="A40" s="4">
        <v>46204</v>
      </c>
      <c r="B40" t="s">
        <v>16</v>
      </c>
      <c r="C40" s="2">
        <v>57.81</v>
      </c>
    </row>
    <row r="41" spans="1:3" x14ac:dyDescent="0.25">
      <c r="A41" s="4">
        <v>46204</v>
      </c>
      <c r="B41" t="s">
        <v>17</v>
      </c>
      <c r="C41" s="2">
        <v>727.56</v>
      </c>
    </row>
    <row r="42" spans="1:3" x14ac:dyDescent="0.25">
      <c r="A42" s="4">
        <v>46204</v>
      </c>
      <c r="B42" t="s">
        <v>18</v>
      </c>
      <c r="C42" s="2">
        <v>3100</v>
      </c>
    </row>
    <row r="43" spans="1:3" x14ac:dyDescent="0.25">
      <c r="A43" s="4">
        <v>46204</v>
      </c>
      <c r="B43" t="s">
        <v>19</v>
      </c>
      <c r="C43" s="2">
        <v>7097.81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CCFE7-F629-4966-A28E-FE3D28988F53}">
  <dimension ref="A1:C29"/>
  <sheetViews>
    <sheetView showGridLines="0" workbookViewId="0">
      <selection activeCell="E7" sqref="E7"/>
    </sheetView>
  </sheetViews>
  <sheetFormatPr defaultRowHeight="15" x14ac:dyDescent="0.25"/>
  <cols>
    <col min="2" max="2" width="21.7109375" customWidth="1"/>
    <col min="3" max="3" width="10.5703125" bestFit="1" customWidth="1"/>
  </cols>
  <sheetData>
    <row r="1" spans="1:3" x14ac:dyDescent="0.25">
      <c r="A1" t="s">
        <v>0</v>
      </c>
      <c r="B1" t="s">
        <v>20</v>
      </c>
      <c r="C1" t="s">
        <v>1</v>
      </c>
    </row>
    <row r="2" spans="1:3" x14ac:dyDescent="0.25">
      <c r="A2" s="4">
        <v>46023</v>
      </c>
      <c r="B2" t="s">
        <v>24</v>
      </c>
      <c r="C2" s="2">
        <v>0</v>
      </c>
    </row>
    <row r="3" spans="1:3" x14ac:dyDescent="0.25">
      <c r="A3" s="4">
        <v>46023</v>
      </c>
      <c r="B3" t="s">
        <v>23</v>
      </c>
      <c r="C3" s="2">
        <v>189.58</v>
      </c>
    </row>
    <row r="4" spans="1:3" x14ac:dyDescent="0.25">
      <c r="A4" s="4">
        <v>46023</v>
      </c>
      <c r="B4" t="s">
        <v>25</v>
      </c>
      <c r="C4" s="2">
        <v>27789.08</v>
      </c>
    </row>
    <row r="5" spans="1:3" x14ac:dyDescent="0.25">
      <c r="A5" s="4">
        <v>46023</v>
      </c>
      <c r="B5" t="s">
        <v>26</v>
      </c>
      <c r="C5" s="2">
        <v>0</v>
      </c>
    </row>
    <row r="6" spans="1:3" x14ac:dyDescent="0.25">
      <c r="A6" s="4">
        <v>46054</v>
      </c>
      <c r="B6" t="s">
        <v>24</v>
      </c>
      <c r="C6" s="2">
        <v>33455.19</v>
      </c>
    </row>
    <row r="7" spans="1:3" x14ac:dyDescent="0.25">
      <c r="A7" s="4">
        <v>46054</v>
      </c>
      <c r="B7" t="s">
        <v>23</v>
      </c>
      <c r="C7" s="2">
        <v>189.58</v>
      </c>
    </row>
    <row r="8" spans="1:3" x14ac:dyDescent="0.25">
      <c r="A8" s="4">
        <v>46054</v>
      </c>
      <c r="B8" t="s">
        <v>25</v>
      </c>
      <c r="C8" s="2">
        <v>28051.24</v>
      </c>
    </row>
    <row r="9" spans="1:3" x14ac:dyDescent="0.25">
      <c r="A9" s="4">
        <v>46054</v>
      </c>
      <c r="B9" t="s">
        <v>26</v>
      </c>
      <c r="C9" s="2">
        <v>0</v>
      </c>
    </row>
    <row r="10" spans="1:3" x14ac:dyDescent="0.25">
      <c r="A10" s="4">
        <v>46082</v>
      </c>
      <c r="B10" t="s">
        <v>24</v>
      </c>
      <c r="C10" s="2">
        <v>17566.93</v>
      </c>
    </row>
    <row r="11" spans="1:3" x14ac:dyDescent="0.25">
      <c r="A11" s="4">
        <v>46082</v>
      </c>
      <c r="B11" t="s">
        <v>23</v>
      </c>
      <c r="C11" s="2">
        <v>0.59</v>
      </c>
    </row>
    <row r="12" spans="1:3" x14ac:dyDescent="0.25">
      <c r="A12" s="4">
        <v>46082</v>
      </c>
      <c r="B12" t="s">
        <v>25</v>
      </c>
      <c r="C12" s="2">
        <v>30092.66</v>
      </c>
    </row>
    <row r="13" spans="1:3" x14ac:dyDescent="0.25">
      <c r="A13" s="4">
        <v>46082</v>
      </c>
      <c r="B13" t="s">
        <v>26</v>
      </c>
      <c r="C13" s="2">
        <v>0</v>
      </c>
    </row>
    <row r="14" spans="1:3" x14ac:dyDescent="0.25">
      <c r="A14" s="4">
        <v>46113</v>
      </c>
      <c r="B14" t="s">
        <v>24</v>
      </c>
      <c r="C14" s="2">
        <v>1793.86</v>
      </c>
    </row>
    <row r="15" spans="1:3" x14ac:dyDescent="0.25">
      <c r="A15" s="4">
        <v>46113</v>
      </c>
      <c r="B15" t="s">
        <v>23</v>
      </c>
      <c r="C15" s="2">
        <v>0.59</v>
      </c>
    </row>
    <row r="16" spans="1:3" x14ac:dyDescent="0.25">
      <c r="A16" s="4">
        <v>46113</v>
      </c>
      <c r="B16" t="s">
        <v>25</v>
      </c>
      <c r="C16" s="2">
        <v>31047.13</v>
      </c>
    </row>
    <row r="17" spans="1:3" x14ac:dyDescent="0.25">
      <c r="A17" s="4">
        <v>46113</v>
      </c>
      <c r="B17" t="s">
        <v>26</v>
      </c>
      <c r="C17" s="2">
        <v>4035.62</v>
      </c>
    </row>
    <row r="18" spans="1:3" x14ac:dyDescent="0.25">
      <c r="A18" s="4">
        <v>46143</v>
      </c>
      <c r="B18" t="s">
        <v>24</v>
      </c>
      <c r="C18" s="2">
        <v>6825.34</v>
      </c>
    </row>
    <row r="19" spans="1:3" x14ac:dyDescent="0.25">
      <c r="A19" s="4">
        <v>46143</v>
      </c>
      <c r="B19" t="s">
        <v>23</v>
      </c>
      <c r="C19" s="2">
        <v>477.34</v>
      </c>
    </row>
    <row r="20" spans="1:3" x14ac:dyDescent="0.25">
      <c r="A20" s="4">
        <v>46143</v>
      </c>
      <c r="B20" t="s">
        <v>25</v>
      </c>
      <c r="C20" s="2">
        <v>47867.82</v>
      </c>
    </row>
    <row r="21" spans="1:3" x14ac:dyDescent="0.25">
      <c r="A21" s="4">
        <v>46143</v>
      </c>
      <c r="B21" t="s">
        <v>26</v>
      </c>
      <c r="C21" s="2">
        <v>0</v>
      </c>
    </row>
    <row r="22" spans="1:3" x14ac:dyDescent="0.25">
      <c r="A22" s="4">
        <v>46174</v>
      </c>
      <c r="B22" t="s">
        <v>24</v>
      </c>
      <c r="C22" s="2">
        <v>521.48</v>
      </c>
    </row>
    <row r="23" spans="1:3" x14ac:dyDescent="0.25">
      <c r="A23" s="4">
        <v>46174</v>
      </c>
      <c r="B23" t="s">
        <v>23</v>
      </c>
      <c r="C23" s="2">
        <v>1025.56</v>
      </c>
    </row>
    <row r="24" spans="1:3" x14ac:dyDescent="0.25">
      <c r="A24" s="4">
        <v>46174</v>
      </c>
      <c r="B24" t="s">
        <v>25</v>
      </c>
      <c r="C24" s="2">
        <v>46842.6</v>
      </c>
    </row>
    <row r="25" spans="1:3" x14ac:dyDescent="0.25">
      <c r="A25" s="4">
        <v>46174</v>
      </c>
      <c r="B25" t="s">
        <v>26</v>
      </c>
      <c r="C25" s="2">
        <v>1705.01</v>
      </c>
    </row>
    <row r="26" spans="1:3" x14ac:dyDescent="0.25">
      <c r="A26" s="4">
        <v>46204</v>
      </c>
      <c r="B26" t="s">
        <v>21</v>
      </c>
      <c r="C26" s="2">
        <v>5378.42</v>
      </c>
    </row>
    <row r="27" spans="1:3" x14ac:dyDescent="0.25">
      <c r="A27" s="4">
        <v>46204</v>
      </c>
      <c r="B27" t="s">
        <v>22</v>
      </c>
      <c r="C27" s="2">
        <v>8414.9699999999993</v>
      </c>
    </row>
    <row r="28" spans="1:3" x14ac:dyDescent="0.25">
      <c r="A28" s="4">
        <v>46204</v>
      </c>
      <c r="B28" t="s">
        <v>25</v>
      </c>
      <c r="C28" s="2">
        <v>46842.6</v>
      </c>
    </row>
    <row r="29" spans="1:3" x14ac:dyDescent="0.25">
      <c r="A29" s="4">
        <v>46204</v>
      </c>
      <c r="B29" t="s">
        <v>26</v>
      </c>
      <c r="C29" s="2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C772-986E-4FC1-BCBF-22878CD6FEC5}">
  <dimension ref="A1:I63"/>
  <sheetViews>
    <sheetView showGridLines="0" tabSelected="1" workbookViewId="0">
      <pane ySplit="2" topLeftCell="A21" activePane="bottomLeft" state="frozen"/>
      <selection pane="bottomLeft" activeCell="K8" sqref="K8"/>
    </sheetView>
  </sheetViews>
  <sheetFormatPr defaultRowHeight="15" x14ac:dyDescent="0.25"/>
  <cols>
    <col min="1" max="1" width="42.5703125" customWidth="1"/>
    <col min="2" max="9" width="15.7109375" customWidth="1"/>
  </cols>
  <sheetData>
    <row r="1" spans="1:9" x14ac:dyDescent="0.25">
      <c r="A1" s="21" t="s">
        <v>83</v>
      </c>
      <c r="B1" s="23" t="s">
        <v>75</v>
      </c>
      <c r="C1" s="23"/>
      <c r="D1" s="23"/>
      <c r="E1" s="23"/>
      <c r="F1" s="23"/>
      <c r="G1" s="23"/>
      <c r="H1" s="23"/>
      <c r="I1" s="23"/>
    </row>
    <row r="2" spans="1:9" x14ac:dyDescent="0.25">
      <c r="A2" s="22" t="s">
        <v>27</v>
      </c>
      <c r="B2" s="11" t="s">
        <v>76</v>
      </c>
      <c r="C2" s="11" t="s">
        <v>77</v>
      </c>
      <c r="D2" s="11" t="s">
        <v>78</v>
      </c>
      <c r="E2" s="11" t="s">
        <v>79</v>
      </c>
      <c r="F2" s="11" t="s">
        <v>80</v>
      </c>
      <c r="G2" s="11" t="s">
        <v>81</v>
      </c>
      <c r="H2" s="11" t="s">
        <v>82</v>
      </c>
      <c r="I2" s="12" t="s">
        <v>74</v>
      </c>
    </row>
    <row r="3" spans="1:9" x14ac:dyDescent="0.25">
      <c r="A3" s="13" t="s">
        <v>28</v>
      </c>
      <c r="B3" s="14">
        <v>189.58</v>
      </c>
      <c r="C3" s="14">
        <v>27978.66</v>
      </c>
      <c r="D3" s="14">
        <v>61696.01</v>
      </c>
      <c r="E3" s="14">
        <v>47660.18</v>
      </c>
      <c r="F3" s="14">
        <v>36877.199999999997</v>
      </c>
      <c r="G3" s="14">
        <v>55170.5</v>
      </c>
      <c r="H3" s="14">
        <v>50094.65</v>
      </c>
      <c r="I3" s="15"/>
    </row>
    <row r="4" spans="1:9" x14ac:dyDescent="0.25">
      <c r="A4" s="16" t="s">
        <v>29</v>
      </c>
      <c r="B4" s="7">
        <v>27789.08</v>
      </c>
      <c r="C4" s="7">
        <v>33717.35</v>
      </c>
      <c r="D4" s="7">
        <v>26112.39</v>
      </c>
      <c r="E4" s="7">
        <v>17554.09</v>
      </c>
      <c r="F4" s="7">
        <v>24179.63</v>
      </c>
      <c r="G4" s="7">
        <v>19332.25</v>
      </c>
      <c r="H4" s="7">
        <v>20859.71</v>
      </c>
      <c r="I4" s="8">
        <f>SUM(B4:H4)</f>
        <v>169544.5</v>
      </c>
    </row>
    <row r="5" spans="1:9" s="5" customFormat="1" x14ac:dyDescent="0.25">
      <c r="A5" s="16" t="s">
        <v>138</v>
      </c>
      <c r="B5" s="7">
        <v>0</v>
      </c>
      <c r="C5" s="7">
        <v>0</v>
      </c>
      <c r="D5" s="7">
        <v>24070.97</v>
      </c>
      <c r="E5" s="7">
        <v>16181.98</v>
      </c>
      <c r="F5" s="7">
        <v>24179.63</v>
      </c>
      <c r="G5" s="7">
        <v>19332.25</v>
      </c>
      <c r="H5" s="7">
        <v>20859.71</v>
      </c>
      <c r="I5" s="8">
        <f t="shared" ref="I5:I61" si="0">SUM(B5:H5)</f>
        <v>104624.54000000001</v>
      </c>
    </row>
    <row r="6" spans="1:9" x14ac:dyDescent="0.25">
      <c r="A6" s="17" t="s">
        <v>30</v>
      </c>
      <c r="B6" s="6">
        <v>0</v>
      </c>
      <c r="C6" s="6">
        <v>0</v>
      </c>
      <c r="D6" s="6">
        <v>5095.6099999999997</v>
      </c>
      <c r="E6" s="6">
        <v>0</v>
      </c>
      <c r="F6" s="6">
        <v>0</v>
      </c>
      <c r="G6" s="6">
        <v>0</v>
      </c>
      <c r="H6" s="6">
        <v>553.5</v>
      </c>
      <c r="I6" s="9">
        <f t="shared" si="0"/>
        <v>5649.11</v>
      </c>
    </row>
    <row r="7" spans="1:9" x14ac:dyDescent="0.25">
      <c r="A7" s="17" t="s">
        <v>31</v>
      </c>
      <c r="B7" s="6">
        <v>0</v>
      </c>
      <c r="C7" s="6">
        <v>0</v>
      </c>
      <c r="D7" s="6">
        <v>517.80999999999995</v>
      </c>
      <c r="E7" s="6">
        <v>1918.21</v>
      </c>
      <c r="F7" s="6">
        <v>720</v>
      </c>
      <c r="G7" s="6">
        <v>753.26</v>
      </c>
      <c r="H7" s="6">
        <v>1834.64</v>
      </c>
      <c r="I7" s="9">
        <f t="shared" si="0"/>
        <v>5743.92</v>
      </c>
    </row>
    <row r="8" spans="1:9" x14ac:dyDescent="0.25">
      <c r="A8" s="17" t="s">
        <v>32</v>
      </c>
      <c r="B8" s="6">
        <v>0</v>
      </c>
      <c r="C8" s="6">
        <v>0</v>
      </c>
      <c r="D8" s="6">
        <v>9772.4699999999993</v>
      </c>
      <c r="E8" s="6">
        <v>5159.9399999999996</v>
      </c>
      <c r="F8" s="6">
        <v>8519.94</v>
      </c>
      <c r="G8" s="6">
        <v>5994.76</v>
      </c>
      <c r="H8" s="6">
        <v>5994.76</v>
      </c>
      <c r="I8" s="9">
        <f t="shared" si="0"/>
        <v>35441.870000000003</v>
      </c>
    </row>
    <row r="9" spans="1:9" x14ac:dyDescent="0.25">
      <c r="A9" s="17" t="s">
        <v>33</v>
      </c>
      <c r="B9" s="6">
        <v>0</v>
      </c>
      <c r="C9" s="6">
        <v>0</v>
      </c>
      <c r="D9" s="6">
        <v>497.81</v>
      </c>
      <c r="E9" s="6">
        <v>1991.44</v>
      </c>
      <c r="F9" s="6">
        <v>3991.44</v>
      </c>
      <c r="G9" s="6">
        <v>1493.63</v>
      </c>
      <c r="H9" s="6">
        <v>1493.63</v>
      </c>
      <c r="I9" s="9">
        <f t="shared" si="0"/>
        <v>9467.9500000000007</v>
      </c>
    </row>
    <row r="10" spans="1:9" x14ac:dyDescent="0.25">
      <c r="A10" s="17" t="s">
        <v>34</v>
      </c>
      <c r="B10" s="6">
        <v>0</v>
      </c>
      <c r="C10" s="6">
        <v>0</v>
      </c>
      <c r="D10" s="6">
        <v>195.15</v>
      </c>
      <c r="E10" s="6">
        <v>0</v>
      </c>
      <c r="F10" s="6">
        <v>0</v>
      </c>
      <c r="G10" s="6">
        <v>195.15</v>
      </c>
      <c r="H10" s="6">
        <v>57.81</v>
      </c>
      <c r="I10" s="9">
        <f t="shared" si="0"/>
        <v>448.11</v>
      </c>
    </row>
    <row r="11" spans="1:9" x14ac:dyDescent="0.25">
      <c r="A11" s="17" t="s">
        <v>35</v>
      </c>
      <c r="B11" s="6">
        <v>0</v>
      </c>
      <c r="C11" s="6">
        <v>0</v>
      </c>
      <c r="D11" s="6">
        <v>0</v>
      </c>
      <c r="E11" s="6">
        <v>916.77</v>
      </c>
      <c r="F11" s="6">
        <v>0</v>
      </c>
      <c r="G11" s="6">
        <v>0</v>
      </c>
      <c r="H11" s="6">
        <v>727.56</v>
      </c>
      <c r="I11" s="9">
        <f t="shared" si="0"/>
        <v>1644.33</v>
      </c>
    </row>
    <row r="12" spans="1:9" x14ac:dyDescent="0.25">
      <c r="A12" s="17" t="s">
        <v>36</v>
      </c>
      <c r="B12" s="6">
        <v>0</v>
      </c>
      <c r="C12" s="6">
        <v>0</v>
      </c>
      <c r="D12" s="6">
        <v>7992.12</v>
      </c>
      <c r="E12" s="6">
        <v>3097.81</v>
      </c>
      <c r="F12" s="6">
        <v>4852.63</v>
      </c>
      <c r="G12" s="6">
        <v>7900.63</v>
      </c>
      <c r="H12" s="6">
        <v>3100</v>
      </c>
      <c r="I12" s="9">
        <f t="shared" si="0"/>
        <v>26943.190000000002</v>
      </c>
    </row>
    <row r="13" spans="1:9" x14ac:dyDescent="0.25">
      <c r="A13" s="17" t="s">
        <v>37</v>
      </c>
      <c r="B13" s="6">
        <v>0</v>
      </c>
      <c r="C13" s="6">
        <v>0</v>
      </c>
      <c r="D13" s="6">
        <v>0</v>
      </c>
      <c r="E13" s="6">
        <v>3097.81</v>
      </c>
      <c r="F13" s="6">
        <v>6095.62</v>
      </c>
      <c r="G13" s="6">
        <v>2994.82</v>
      </c>
      <c r="H13" s="6">
        <v>7097.81</v>
      </c>
      <c r="I13" s="9">
        <f t="shared" si="0"/>
        <v>19286.060000000001</v>
      </c>
    </row>
    <row r="14" spans="1:9" s="5" customFormat="1" x14ac:dyDescent="0.25">
      <c r="A14" s="16" t="s">
        <v>139</v>
      </c>
      <c r="B14" s="7">
        <v>0</v>
      </c>
      <c r="C14" s="7">
        <v>262.16000000000003</v>
      </c>
      <c r="D14" s="7">
        <v>2041.42</v>
      </c>
      <c r="E14" s="7">
        <v>954.47</v>
      </c>
      <c r="F14" s="7">
        <v>0</v>
      </c>
      <c r="G14" s="7">
        <v>0</v>
      </c>
      <c r="H14" s="7">
        <v>0</v>
      </c>
      <c r="I14" s="8">
        <f t="shared" si="0"/>
        <v>3258.05</v>
      </c>
    </row>
    <row r="15" spans="1:9" x14ac:dyDescent="0.25">
      <c r="A15" s="17" t="s">
        <v>38</v>
      </c>
      <c r="B15" s="6">
        <v>0</v>
      </c>
      <c r="C15" s="6">
        <v>262.16000000000003</v>
      </c>
      <c r="D15" s="6">
        <v>2041.42</v>
      </c>
      <c r="E15" s="6">
        <v>954.47</v>
      </c>
      <c r="F15" s="6">
        <v>0</v>
      </c>
      <c r="G15" s="6">
        <v>0</v>
      </c>
      <c r="H15" s="6">
        <v>0</v>
      </c>
      <c r="I15" s="9">
        <f t="shared" si="0"/>
        <v>3258.05</v>
      </c>
    </row>
    <row r="16" spans="1:9" s="5" customFormat="1" x14ac:dyDescent="0.25">
      <c r="A16" s="16" t="s">
        <v>152</v>
      </c>
      <c r="B16" s="7">
        <v>0</v>
      </c>
      <c r="C16" s="7">
        <v>0</v>
      </c>
      <c r="D16" s="7">
        <v>0</v>
      </c>
      <c r="E16" s="7">
        <v>417.64</v>
      </c>
      <c r="F16" s="7">
        <v>0</v>
      </c>
      <c r="G16" s="7">
        <v>0</v>
      </c>
      <c r="H16" s="7">
        <v>0</v>
      </c>
      <c r="I16" s="8">
        <f t="shared" si="0"/>
        <v>417.64</v>
      </c>
    </row>
    <row r="17" spans="1:9" x14ac:dyDescent="0.25">
      <c r="A17" s="17" t="s">
        <v>39</v>
      </c>
      <c r="B17" s="6">
        <v>0</v>
      </c>
      <c r="C17" s="6">
        <v>0</v>
      </c>
      <c r="D17" s="6">
        <v>0</v>
      </c>
      <c r="E17" s="6">
        <v>417.64</v>
      </c>
      <c r="F17" s="6">
        <v>0</v>
      </c>
      <c r="G17" s="6">
        <v>0</v>
      </c>
      <c r="H17" s="6">
        <v>0</v>
      </c>
      <c r="I17" s="9">
        <f t="shared" si="0"/>
        <v>417.64</v>
      </c>
    </row>
    <row r="18" spans="1:9" x14ac:dyDescent="0.25">
      <c r="A18" s="16" t="s">
        <v>40</v>
      </c>
      <c r="B18" s="7">
        <v>0</v>
      </c>
      <c r="C18" s="7">
        <v>0</v>
      </c>
      <c r="D18" s="7">
        <v>-40148.22</v>
      </c>
      <c r="E18" s="7">
        <v>-28337.07</v>
      </c>
      <c r="F18" s="7">
        <v>-23363.08</v>
      </c>
      <c r="G18" s="7">
        <v>-24408.1</v>
      </c>
      <c r="H18" s="7">
        <v>-18732.78</v>
      </c>
      <c r="I18" s="8">
        <f t="shared" si="0"/>
        <v>-134989.25</v>
      </c>
    </row>
    <row r="19" spans="1:9" s="5" customFormat="1" x14ac:dyDescent="0.25">
      <c r="A19" s="16" t="s">
        <v>140</v>
      </c>
      <c r="B19" s="7">
        <v>0</v>
      </c>
      <c r="C19" s="7">
        <v>0</v>
      </c>
      <c r="D19" s="7">
        <v>-127.67</v>
      </c>
      <c r="E19" s="7">
        <v>-127.67</v>
      </c>
      <c r="F19" s="7">
        <v>-296.14999999999998</v>
      </c>
      <c r="G19" s="7">
        <v>-507.67</v>
      </c>
      <c r="H19" s="7">
        <v>-127.67</v>
      </c>
      <c r="I19" s="8">
        <f t="shared" si="0"/>
        <v>-1186.8300000000002</v>
      </c>
    </row>
    <row r="20" spans="1:9" x14ac:dyDescent="0.25">
      <c r="A20" s="17" t="s">
        <v>41</v>
      </c>
      <c r="B20" s="6">
        <v>0</v>
      </c>
      <c r="C20" s="6">
        <v>0</v>
      </c>
      <c r="D20" s="6">
        <v>-127.67</v>
      </c>
      <c r="E20" s="6">
        <v>-127.67</v>
      </c>
      <c r="F20" s="6">
        <v>-127.67</v>
      </c>
      <c r="G20" s="6">
        <v>-127.67</v>
      </c>
      <c r="H20" s="6">
        <v>-127.67</v>
      </c>
      <c r="I20" s="9">
        <f t="shared" si="0"/>
        <v>-638.35</v>
      </c>
    </row>
    <row r="21" spans="1:9" x14ac:dyDescent="0.25">
      <c r="A21" s="17" t="s">
        <v>42</v>
      </c>
      <c r="B21" s="6">
        <v>0</v>
      </c>
      <c r="C21" s="6">
        <v>0</v>
      </c>
      <c r="D21" s="6">
        <v>0</v>
      </c>
      <c r="E21" s="6">
        <v>0</v>
      </c>
      <c r="F21" s="6">
        <v>-168.48</v>
      </c>
      <c r="G21" s="6">
        <v>-380</v>
      </c>
      <c r="H21" s="6">
        <v>0</v>
      </c>
      <c r="I21" s="9">
        <f t="shared" si="0"/>
        <v>-548.48</v>
      </c>
    </row>
    <row r="22" spans="1:9" s="5" customFormat="1" x14ac:dyDescent="0.25">
      <c r="A22" s="16" t="s">
        <v>141</v>
      </c>
      <c r="B22" s="7">
        <v>0</v>
      </c>
      <c r="C22" s="7">
        <v>0</v>
      </c>
      <c r="D22" s="7">
        <v>0</v>
      </c>
      <c r="E22" s="7">
        <v>-1841.4</v>
      </c>
      <c r="F22" s="7">
        <v>-753.72</v>
      </c>
      <c r="G22" s="7">
        <v>-881.34</v>
      </c>
      <c r="H22" s="7">
        <v>-1052.97</v>
      </c>
      <c r="I22" s="8">
        <f t="shared" si="0"/>
        <v>-4529.43</v>
      </c>
    </row>
    <row r="23" spans="1:9" x14ac:dyDescent="0.25">
      <c r="A23" s="17" t="s">
        <v>43</v>
      </c>
      <c r="B23" s="6">
        <v>0</v>
      </c>
      <c r="C23" s="6">
        <v>0</v>
      </c>
      <c r="D23" s="6">
        <v>0</v>
      </c>
      <c r="E23" s="6">
        <v>-1841.4</v>
      </c>
      <c r="F23" s="6">
        <v>-753.72</v>
      </c>
      <c r="G23" s="6">
        <v>-881.34</v>
      </c>
      <c r="H23" s="6">
        <v>-1052.97</v>
      </c>
      <c r="I23" s="9">
        <f t="shared" si="0"/>
        <v>-4529.43</v>
      </c>
    </row>
    <row r="24" spans="1:9" s="5" customFormat="1" x14ac:dyDescent="0.25">
      <c r="A24" s="16" t="s">
        <v>142</v>
      </c>
      <c r="B24" s="7">
        <v>0</v>
      </c>
      <c r="C24" s="7">
        <v>0</v>
      </c>
      <c r="D24" s="7">
        <v>-19249.68</v>
      </c>
      <c r="E24" s="7">
        <v>-19033.54</v>
      </c>
      <c r="F24" s="7">
        <v>-11301.14</v>
      </c>
      <c r="G24" s="7">
        <v>-15710.62</v>
      </c>
      <c r="H24" s="7">
        <v>-10192.790000000001</v>
      </c>
      <c r="I24" s="8">
        <f t="shared" si="0"/>
        <v>-75487.77</v>
      </c>
    </row>
    <row r="25" spans="1:9" x14ac:dyDescent="0.25">
      <c r="A25" s="17" t="s">
        <v>44</v>
      </c>
      <c r="B25" s="6">
        <v>0</v>
      </c>
      <c r="C25" s="6">
        <v>0</v>
      </c>
      <c r="D25" s="6">
        <v>-15899</v>
      </c>
      <c r="E25" s="6">
        <v>-15200</v>
      </c>
      <c r="F25" s="6">
        <v>-8233</v>
      </c>
      <c r="G25" s="6">
        <v>-11977</v>
      </c>
      <c r="H25" s="6">
        <v>-6300</v>
      </c>
      <c r="I25" s="9">
        <f t="shared" si="0"/>
        <v>-57609</v>
      </c>
    </row>
    <row r="26" spans="1:9" x14ac:dyDescent="0.25">
      <c r="A26" s="17" t="s">
        <v>45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-100</v>
      </c>
      <c r="I26" s="9">
        <f t="shared" si="0"/>
        <v>-100</v>
      </c>
    </row>
    <row r="27" spans="1:9" x14ac:dyDescent="0.25">
      <c r="A27" s="17" t="s">
        <v>46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-753.1</v>
      </c>
      <c r="I27" s="9">
        <f t="shared" si="0"/>
        <v>-753.1</v>
      </c>
    </row>
    <row r="28" spans="1:9" x14ac:dyDescent="0.25">
      <c r="A28" s="17" t="s">
        <v>47</v>
      </c>
      <c r="B28" s="6">
        <v>0</v>
      </c>
      <c r="C28" s="6">
        <v>0</v>
      </c>
      <c r="D28" s="6">
        <v>-24.44</v>
      </c>
      <c r="E28" s="6">
        <v>-44.34</v>
      </c>
      <c r="F28" s="6">
        <v>-83.75</v>
      </c>
      <c r="G28" s="6">
        <v>0</v>
      </c>
      <c r="H28" s="6">
        <v>0</v>
      </c>
      <c r="I28" s="9">
        <f t="shared" si="0"/>
        <v>-152.53</v>
      </c>
    </row>
    <row r="29" spans="1:9" x14ac:dyDescent="0.25">
      <c r="A29" s="17" t="s">
        <v>48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9">
        <f t="shared" si="0"/>
        <v>0</v>
      </c>
    </row>
    <row r="30" spans="1:9" x14ac:dyDescent="0.25">
      <c r="A30" s="17" t="s">
        <v>49</v>
      </c>
      <c r="B30" s="6">
        <v>0</v>
      </c>
      <c r="C30" s="6">
        <v>0</v>
      </c>
      <c r="D30" s="6">
        <v>-2808</v>
      </c>
      <c r="E30" s="6">
        <v>-2808</v>
      </c>
      <c r="F30" s="6">
        <v>-2808</v>
      </c>
      <c r="G30" s="6">
        <v>-2794</v>
      </c>
      <c r="H30" s="6">
        <v>-2758</v>
      </c>
      <c r="I30" s="9">
        <f t="shared" si="0"/>
        <v>-13976</v>
      </c>
    </row>
    <row r="31" spans="1:9" x14ac:dyDescent="0.25">
      <c r="A31" s="17" t="s">
        <v>50</v>
      </c>
      <c r="B31" s="6">
        <v>0</v>
      </c>
      <c r="C31" s="6">
        <v>0</v>
      </c>
      <c r="D31" s="6">
        <v>-518.24</v>
      </c>
      <c r="E31" s="6">
        <v>-981.2</v>
      </c>
      <c r="F31" s="6">
        <v>-176.39</v>
      </c>
      <c r="G31" s="6">
        <v>-939.62</v>
      </c>
      <c r="H31" s="6">
        <v>-281.69</v>
      </c>
      <c r="I31" s="9">
        <f t="shared" si="0"/>
        <v>-2897.14</v>
      </c>
    </row>
    <row r="32" spans="1:9" x14ac:dyDescent="0.25">
      <c r="A32" s="17" t="s">
        <v>51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9">
        <f t="shared" si="0"/>
        <v>0</v>
      </c>
    </row>
    <row r="33" spans="1:9" s="5" customFormat="1" x14ac:dyDescent="0.25">
      <c r="A33" s="16" t="s">
        <v>143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8">
        <f t="shared" si="0"/>
        <v>0</v>
      </c>
    </row>
    <row r="34" spans="1:9" x14ac:dyDescent="0.25">
      <c r="A34" s="17" t="s">
        <v>52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9">
        <f t="shared" si="0"/>
        <v>0</v>
      </c>
    </row>
    <row r="35" spans="1:9" s="5" customFormat="1" x14ac:dyDescent="0.25">
      <c r="A35" s="16" t="s">
        <v>144</v>
      </c>
      <c r="B35" s="7">
        <v>0</v>
      </c>
      <c r="C35" s="7">
        <v>0</v>
      </c>
      <c r="D35" s="7">
        <v>-236.6</v>
      </c>
      <c r="E35" s="7">
        <v>-782.92</v>
      </c>
      <c r="F35" s="7">
        <v>-611.87</v>
      </c>
      <c r="G35" s="7">
        <v>-586.62</v>
      </c>
      <c r="H35" s="7">
        <v>-383.56</v>
      </c>
      <c r="I35" s="8">
        <f t="shared" si="0"/>
        <v>-2601.5699999999997</v>
      </c>
    </row>
    <row r="36" spans="1:9" x14ac:dyDescent="0.25">
      <c r="A36" s="17" t="s">
        <v>53</v>
      </c>
      <c r="B36" s="6">
        <v>0</v>
      </c>
      <c r="C36" s="6">
        <v>0</v>
      </c>
      <c r="D36" s="6">
        <v>-135.62</v>
      </c>
      <c r="E36" s="6">
        <v>-681.94</v>
      </c>
      <c r="F36" s="6">
        <v>-282.97000000000003</v>
      </c>
      <c r="G36" s="6">
        <v>-282.58</v>
      </c>
      <c r="H36" s="6">
        <v>-282.58</v>
      </c>
      <c r="I36" s="9">
        <f t="shared" si="0"/>
        <v>-1665.69</v>
      </c>
    </row>
    <row r="37" spans="1:9" x14ac:dyDescent="0.25">
      <c r="A37" s="17" t="s">
        <v>54</v>
      </c>
      <c r="B37" s="6">
        <v>0</v>
      </c>
      <c r="C37" s="6">
        <v>0</v>
      </c>
      <c r="D37" s="6">
        <v>0</v>
      </c>
      <c r="E37" s="6">
        <v>0</v>
      </c>
      <c r="F37" s="6">
        <v>-140</v>
      </c>
      <c r="G37" s="6">
        <v>-140</v>
      </c>
      <c r="H37" s="6">
        <v>0</v>
      </c>
      <c r="I37" s="9">
        <f t="shared" si="0"/>
        <v>-280</v>
      </c>
    </row>
    <row r="38" spans="1:9" x14ac:dyDescent="0.25">
      <c r="A38" s="17" t="s">
        <v>55</v>
      </c>
      <c r="B38" s="6">
        <v>0</v>
      </c>
      <c r="C38" s="6">
        <v>0</v>
      </c>
      <c r="D38" s="6">
        <v>-100.98</v>
      </c>
      <c r="E38" s="6">
        <v>-100.98</v>
      </c>
      <c r="F38" s="6">
        <v>-188.9</v>
      </c>
      <c r="G38" s="6">
        <v>-127.08</v>
      </c>
      <c r="H38" s="6">
        <v>-100.98</v>
      </c>
      <c r="I38" s="9">
        <f t="shared" si="0"/>
        <v>-618.92000000000007</v>
      </c>
    </row>
    <row r="39" spans="1:9" x14ac:dyDescent="0.25">
      <c r="A39" s="17" t="s">
        <v>56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-36.96</v>
      </c>
      <c r="H39" s="6">
        <v>0</v>
      </c>
      <c r="I39" s="9">
        <f t="shared" si="0"/>
        <v>-36.96</v>
      </c>
    </row>
    <row r="40" spans="1:9" s="5" customFormat="1" x14ac:dyDescent="0.25">
      <c r="A40" s="16" t="s">
        <v>145</v>
      </c>
      <c r="B40" s="7">
        <v>0</v>
      </c>
      <c r="C40" s="7">
        <v>0</v>
      </c>
      <c r="D40" s="7">
        <v>-1700.03</v>
      </c>
      <c r="E40" s="7">
        <v>-1779.77</v>
      </c>
      <c r="F40" s="7">
        <v>-5481.89</v>
      </c>
      <c r="G40" s="7">
        <v>-1953.72</v>
      </c>
      <c r="H40" s="7">
        <v>-2496.86</v>
      </c>
      <c r="I40" s="8">
        <f t="shared" si="0"/>
        <v>-13412.27</v>
      </c>
    </row>
    <row r="41" spans="1:9" x14ac:dyDescent="0.25">
      <c r="A41" s="17" t="s">
        <v>57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9">
        <f t="shared" si="0"/>
        <v>0</v>
      </c>
    </row>
    <row r="42" spans="1:9" x14ac:dyDescent="0.25">
      <c r="A42" s="17" t="s">
        <v>58</v>
      </c>
      <c r="B42" s="6">
        <v>0</v>
      </c>
      <c r="C42" s="6">
        <v>0</v>
      </c>
      <c r="D42" s="6">
        <v>-1660.13</v>
      </c>
      <c r="E42" s="6">
        <v>-1779.77</v>
      </c>
      <c r="F42" s="6">
        <v>-5481.89</v>
      </c>
      <c r="G42" s="6">
        <v>-1953.72</v>
      </c>
      <c r="H42" s="6">
        <v>-2496.86</v>
      </c>
      <c r="I42" s="9">
        <f t="shared" si="0"/>
        <v>-13372.37</v>
      </c>
    </row>
    <row r="43" spans="1:9" x14ac:dyDescent="0.25">
      <c r="A43" s="17" t="s">
        <v>59</v>
      </c>
      <c r="B43" s="6">
        <v>0</v>
      </c>
      <c r="C43" s="6">
        <v>0</v>
      </c>
      <c r="D43" s="6">
        <v>-39.9</v>
      </c>
      <c r="E43" s="6">
        <v>0</v>
      </c>
      <c r="F43" s="6">
        <v>0</v>
      </c>
      <c r="G43" s="6">
        <v>0</v>
      </c>
      <c r="H43" s="6">
        <v>0</v>
      </c>
      <c r="I43" s="9">
        <f t="shared" si="0"/>
        <v>-39.9</v>
      </c>
    </row>
    <row r="44" spans="1:9" s="5" customFormat="1" x14ac:dyDescent="0.25">
      <c r="A44" s="16" t="s">
        <v>146</v>
      </c>
      <c r="B44" s="7">
        <v>0</v>
      </c>
      <c r="C44" s="7">
        <v>0</v>
      </c>
      <c r="D44" s="7">
        <v>-1106.3699999999999</v>
      </c>
      <c r="E44" s="7">
        <v>-1118.92</v>
      </c>
      <c r="F44" s="7">
        <v>-1358.88</v>
      </c>
      <c r="G44" s="7">
        <v>-1285.1300000000001</v>
      </c>
      <c r="H44" s="7">
        <v>-1228.1500000000001</v>
      </c>
      <c r="I44" s="8">
        <f t="shared" si="0"/>
        <v>-6097.4500000000007</v>
      </c>
    </row>
    <row r="45" spans="1:9" x14ac:dyDescent="0.25">
      <c r="A45" s="17" t="s">
        <v>60</v>
      </c>
      <c r="B45" s="6">
        <v>0</v>
      </c>
      <c r="C45" s="6">
        <v>0</v>
      </c>
      <c r="D45" s="6">
        <v>-797.27</v>
      </c>
      <c r="E45" s="6">
        <v>-908.27</v>
      </c>
      <c r="F45" s="6">
        <v>-1019.27</v>
      </c>
      <c r="G45" s="6">
        <v>-950.41</v>
      </c>
      <c r="H45" s="6">
        <v>-908.27</v>
      </c>
      <c r="I45" s="9">
        <f t="shared" si="0"/>
        <v>-4583.49</v>
      </c>
    </row>
    <row r="46" spans="1:9" x14ac:dyDescent="0.25">
      <c r="A46" s="17" t="s">
        <v>61</v>
      </c>
      <c r="B46" s="6">
        <v>0</v>
      </c>
      <c r="C46" s="6">
        <v>0</v>
      </c>
      <c r="D46" s="6">
        <v>-247.06</v>
      </c>
      <c r="E46" s="6">
        <v>-210.65</v>
      </c>
      <c r="F46" s="6">
        <v>-210.65</v>
      </c>
      <c r="G46" s="6">
        <v>-252.79</v>
      </c>
      <c r="H46" s="6">
        <v>-252.79</v>
      </c>
      <c r="I46" s="9">
        <f t="shared" si="0"/>
        <v>-1173.94</v>
      </c>
    </row>
    <row r="47" spans="1:9" x14ac:dyDescent="0.25">
      <c r="A47" s="17" t="s">
        <v>62</v>
      </c>
      <c r="B47" s="6">
        <v>0</v>
      </c>
      <c r="C47" s="6">
        <v>0</v>
      </c>
      <c r="D47" s="6">
        <v>-62.04</v>
      </c>
      <c r="E47" s="6">
        <v>0</v>
      </c>
      <c r="F47" s="6">
        <v>-128.96</v>
      </c>
      <c r="G47" s="6">
        <v>-81.93</v>
      </c>
      <c r="H47" s="6">
        <v>-67.09</v>
      </c>
      <c r="I47" s="9">
        <f t="shared" si="0"/>
        <v>-340.02</v>
      </c>
    </row>
    <row r="48" spans="1:9" s="5" customFormat="1" x14ac:dyDescent="0.25">
      <c r="A48" s="16" t="s">
        <v>147</v>
      </c>
      <c r="B48" s="7">
        <v>0</v>
      </c>
      <c r="C48" s="7">
        <v>0</v>
      </c>
      <c r="D48" s="7">
        <v>-1351.02</v>
      </c>
      <c r="E48" s="7">
        <v>-1992.34</v>
      </c>
      <c r="F48" s="7">
        <v>-1799.31</v>
      </c>
      <c r="G48" s="7">
        <v>-1799.31</v>
      </c>
      <c r="H48" s="7">
        <v>-1799.31</v>
      </c>
      <c r="I48" s="8">
        <f t="shared" si="0"/>
        <v>-8741.2899999999991</v>
      </c>
    </row>
    <row r="49" spans="1:9" x14ac:dyDescent="0.25">
      <c r="A49" s="17" t="s">
        <v>63</v>
      </c>
      <c r="B49" s="6">
        <v>0</v>
      </c>
      <c r="C49" s="6">
        <v>0</v>
      </c>
      <c r="D49" s="6">
        <v>0</v>
      </c>
      <c r="E49" s="6">
        <v>-371.34</v>
      </c>
      <c r="F49" s="6">
        <v>-178.31</v>
      </c>
      <c r="G49" s="6">
        <v>-178.31</v>
      </c>
      <c r="H49" s="6">
        <v>-178.31</v>
      </c>
      <c r="I49" s="9">
        <f t="shared" si="0"/>
        <v>-906.27</v>
      </c>
    </row>
    <row r="50" spans="1:9" x14ac:dyDescent="0.25">
      <c r="A50" s="17" t="s">
        <v>64</v>
      </c>
      <c r="B50" s="6">
        <v>0</v>
      </c>
      <c r="C50" s="6">
        <v>0</v>
      </c>
      <c r="D50" s="6">
        <v>-1351.02</v>
      </c>
      <c r="E50" s="6">
        <v>-1621</v>
      </c>
      <c r="F50" s="6">
        <v>-1621</v>
      </c>
      <c r="G50" s="6">
        <v>-1621</v>
      </c>
      <c r="H50" s="6">
        <v>-1621</v>
      </c>
      <c r="I50" s="9">
        <f t="shared" si="0"/>
        <v>-7835.02</v>
      </c>
    </row>
    <row r="51" spans="1:9" s="5" customFormat="1" x14ac:dyDescent="0.25">
      <c r="A51" s="16" t="s">
        <v>148</v>
      </c>
      <c r="B51" s="7">
        <v>0</v>
      </c>
      <c r="C51" s="7">
        <v>0</v>
      </c>
      <c r="D51" s="7">
        <v>-5231.84</v>
      </c>
      <c r="E51" s="7">
        <v>-11.81</v>
      </c>
      <c r="F51" s="7">
        <v>-194.53</v>
      </c>
      <c r="G51" s="7">
        <v>-19.57</v>
      </c>
      <c r="H51" s="7">
        <v>-17.260000000000002</v>
      </c>
      <c r="I51" s="8">
        <f t="shared" si="0"/>
        <v>-5475.01</v>
      </c>
    </row>
    <row r="52" spans="1:9" x14ac:dyDescent="0.25">
      <c r="A52" s="17" t="s">
        <v>65</v>
      </c>
      <c r="B52" s="6">
        <v>0</v>
      </c>
      <c r="C52" s="6">
        <v>0</v>
      </c>
      <c r="D52" s="6">
        <v>-38.85</v>
      </c>
      <c r="E52" s="6">
        <v>-7.81</v>
      </c>
      <c r="F52" s="6">
        <v>-11.22</v>
      </c>
      <c r="G52" s="6">
        <v>-15.57</v>
      </c>
      <c r="H52" s="6">
        <v>-13.26</v>
      </c>
      <c r="I52" s="9">
        <f t="shared" si="0"/>
        <v>-86.710000000000008</v>
      </c>
    </row>
    <row r="53" spans="1:9" x14ac:dyDescent="0.25">
      <c r="A53" s="17" t="s">
        <v>66</v>
      </c>
      <c r="B53" s="6">
        <v>0</v>
      </c>
      <c r="C53" s="6">
        <v>0</v>
      </c>
      <c r="D53" s="6">
        <v>-5188.99</v>
      </c>
      <c r="E53" s="6">
        <v>0</v>
      </c>
      <c r="F53" s="6">
        <v>-179.31</v>
      </c>
      <c r="G53" s="6">
        <v>0</v>
      </c>
      <c r="H53" s="6">
        <v>0</v>
      </c>
      <c r="I53" s="9">
        <f t="shared" si="0"/>
        <v>-5368.3</v>
      </c>
    </row>
    <row r="54" spans="1:9" x14ac:dyDescent="0.25">
      <c r="A54" s="17" t="s">
        <v>67</v>
      </c>
      <c r="B54" s="6">
        <v>0</v>
      </c>
      <c r="C54" s="6">
        <v>0</v>
      </c>
      <c r="D54" s="6">
        <v>-4</v>
      </c>
      <c r="E54" s="6">
        <v>-4</v>
      </c>
      <c r="F54" s="6">
        <v>-4</v>
      </c>
      <c r="G54" s="6">
        <v>-4</v>
      </c>
      <c r="H54" s="6">
        <v>-4</v>
      </c>
      <c r="I54" s="9">
        <f t="shared" si="0"/>
        <v>-20</v>
      </c>
    </row>
    <row r="55" spans="1:9" s="5" customFormat="1" x14ac:dyDescent="0.25">
      <c r="A55" s="16" t="s">
        <v>149</v>
      </c>
      <c r="B55" s="7">
        <v>0</v>
      </c>
      <c r="C55" s="7">
        <v>0</v>
      </c>
      <c r="D55" s="7">
        <v>-1115.29</v>
      </c>
      <c r="E55" s="7">
        <v>-520.80999999999995</v>
      </c>
      <c r="F55" s="7">
        <v>-422.97</v>
      </c>
      <c r="G55" s="7">
        <v>-423.11</v>
      </c>
      <c r="H55" s="7">
        <v>-416.54</v>
      </c>
      <c r="I55" s="8">
        <f t="shared" si="0"/>
        <v>-2898.72</v>
      </c>
    </row>
    <row r="56" spans="1:9" x14ac:dyDescent="0.25">
      <c r="A56" s="17" t="s">
        <v>68</v>
      </c>
      <c r="B56" s="6">
        <v>0</v>
      </c>
      <c r="C56" s="6">
        <v>0</v>
      </c>
      <c r="D56" s="6">
        <v>-1115.29</v>
      </c>
      <c r="E56" s="6">
        <v>-520.80999999999995</v>
      </c>
      <c r="F56" s="6">
        <v>-422.97</v>
      </c>
      <c r="G56" s="6">
        <v>-423.11</v>
      </c>
      <c r="H56" s="6">
        <v>-416.54</v>
      </c>
      <c r="I56" s="9">
        <f t="shared" si="0"/>
        <v>-2898.72</v>
      </c>
    </row>
    <row r="57" spans="1:9" s="5" customFormat="1" x14ac:dyDescent="0.25">
      <c r="A57" s="16" t="s">
        <v>150</v>
      </c>
      <c r="B57" s="7">
        <v>0</v>
      </c>
      <c r="C57" s="7">
        <v>0</v>
      </c>
      <c r="D57" s="7">
        <v>-1744.78</v>
      </c>
      <c r="E57" s="7">
        <v>-469.75</v>
      </c>
      <c r="F57" s="7">
        <v>-477.9</v>
      </c>
      <c r="G57" s="7">
        <v>-569.25</v>
      </c>
      <c r="H57" s="7">
        <v>-338.54</v>
      </c>
      <c r="I57" s="8">
        <f t="shared" si="0"/>
        <v>-3600.22</v>
      </c>
    </row>
    <row r="58" spans="1:9" x14ac:dyDescent="0.25">
      <c r="A58" s="17" t="s">
        <v>69</v>
      </c>
      <c r="B58" s="6">
        <v>0</v>
      </c>
      <c r="C58" s="6">
        <v>0</v>
      </c>
      <c r="D58" s="6">
        <v>-1744.78</v>
      </c>
      <c r="E58" s="6">
        <v>-469.75</v>
      </c>
      <c r="F58" s="6">
        <v>-477.9</v>
      </c>
      <c r="G58" s="6">
        <v>-569.25</v>
      </c>
      <c r="H58" s="6">
        <v>-338.54</v>
      </c>
      <c r="I58" s="9">
        <f t="shared" si="0"/>
        <v>-3600.22</v>
      </c>
    </row>
    <row r="59" spans="1:9" s="5" customFormat="1" x14ac:dyDescent="0.25">
      <c r="A59" s="16" t="s">
        <v>151</v>
      </c>
      <c r="B59" s="7">
        <v>0</v>
      </c>
      <c r="C59" s="7">
        <v>0</v>
      </c>
      <c r="D59" s="7">
        <v>0</v>
      </c>
      <c r="E59" s="7">
        <v>-658.14</v>
      </c>
      <c r="F59" s="7">
        <v>-664.72</v>
      </c>
      <c r="G59" s="7">
        <v>-671.76</v>
      </c>
      <c r="H59" s="7">
        <v>-679.13</v>
      </c>
      <c r="I59" s="8">
        <f t="shared" si="0"/>
        <v>-2673.75</v>
      </c>
    </row>
    <row r="60" spans="1:9" x14ac:dyDescent="0.25">
      <c r="A60" s="17" t="s">
        <v>70</v>
      </c>
      <c r="B60" s="6">
        <v>0</v>
      </c>
      <c r="C60" s="6">
        <v>0</v>
      </c>
      <c r="D60" s="6">
        <v>0</v>
      </c>
      <c r="E60" s="6">
        <v>-658.14</v>
      </c>
      <c r="F60" s="6">
        <v>-664.72</v>
      </c>
      <c r="G60" s="6">
        <v>-671.76</v>
      </c>
      <c r="H60" s="6">
        <v>-679.13</v>
      </c>
      <c r="I60" s="9">
        <f t="shared" si="0"/>
        <v>-2673.75</v>
      </c>
    </row>
    <row r="61" spans="1:9" x14ac:dyDescent="0.25">
      <c r="A61" s="17" t="s">
        <v>71</v>
      </c>
      <c r="B61" s="6">
        <v>0</v>
      </c>
      <c r="C61" s="6">
        <v>0</v>
      </c>
      <c r="D61" s="6">
        <v>-8284.94</v>
      </c>
      <c r="E61" s="6">
        <v>0</v>
      </c>
      <c r="F61" s="6">
        <v>0</v>
      </c>
      <c r="G61" s="6">
        <v>0</v>
      </c>
      <c r="H61" s="6">
        <v>0</v>
      </c>
      <c r="I61" s="9">
        <f t="shared" si="0"/>
        <v>-8284.94</v>
      </c>
    </row>
    <row r="62" spans="1:9" x14ac:dyDescent="0.25">
      <c r="A62" s="18" t="s">
        <v>72</v>
      </c>
      <c r="B62" s="7">
        <v>27789.08</v>
      </c>
      <c r="C62" s="7">
        <v>33717.35</v>
      </c>
      <c r="D62" s="7">
        <v>-14035.83</v>
      </c>
      <c r="E62" s="7">
        <v>-10782.98</v>
      </c>
      <c r="F62" s="7">
        <v>816.55</v>
      </c>
      <c r="G62" s="7">
        <v>-5075.8500000000004</v>
      </c>
      <c r="H62" s="7">
        <v>2126.9299999999998</v>
      </c>
      <c r="I62" s="8">
        <f>I4+I18</f>
        <v>34555.25</v>
      </c>
    </row>
    <row r="63" spans="1:9" x14ac:dyDescent="0.25">
      <c r="A63" s="19" t="s">
        <v>73</v>
      </c>
      <c r="B63" s="10">
        <v>27978.66</v>
      </c>
      <c r="C63" s="10">
        <v>61696.01</v>
      </c>
      <c r="D63" s="10">
        <v>47660.18</v>
      </c>
      <c r="E63" s="10">
        <v>36877.199999999997</v>
      </c>
      <c r="F63" s="10">
        <v>55170.5</v>
      </c>
      <c r="G63" s="10">
        <v>50094.65</v>
      </c>
      <c r="H63" s="10">
        <v>60635.99</v>
      </c>
      <c r="I63" s="20"/>
    </row>
  </sheetData>
  <mergeCells count="1">
    <mergeCell ref="B1:I1"/>
  </mergeCells>
  <conditionalFormatting sqref="A4:I4">
    <cfRule type="cellIs" dxfId="18" priority="6" operator="greaterThan">
      <formula>0.1</formula>
    </cfRule>
  </conditionalFormatting>
  <conditionalFormatting sqref="A18:I18">
    <cfRule type="cellIs" dxfId="17" priority="5" operator="lessThan">
      <formula>0.1</formula>
    </cfRule>
    <cfRule type="containsText" dxfId="16" priority="4" operator="containsText" text="Total de Pagamentos">
      <formula>NOT(ISERROR(SEARCH("Total de Pagamentos",A18)))</formula>
    </cfRule>
  </conditionalFormatting>
  <conditionalFormatting sqref="B62:I62 B63:H63">
    <cfRule type="cellIs" dxfId="15" priority="3" operator="greaterThan">
      <formula>0.1</formula>
    </cfRule>
    <cfRule type="cellIs" dxfId="14" priority="2" operator="lessThan">
      <formula>0.1</formula>
    </cfRule>
  </conditionalFormatting>
  <conditionalFormatting sqref="B4">
    <cfRule type="containsText" dxfId="13" priority="1" operator="containsText" text="0">
      <formula>NOT(ISERROR(SEARCH("0",B4)))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2FFF-C641-4181-BEBA-CF7EA9223EAF}">
  <dimension ref="A1:C38"/>
  <sheetViews>
    <sheetView showGridLines="0" workbookViewId="0">
      <selection activeCell="I8" sqref="I8"/>
    </sheetView>
  </sheetViews>
  <sheetFormatPr defaultRowHeight="15" x14ac:dyDescent="0.25"/>
  <cols>
    <col min="1" max="1" width="54.28515625" customWidth="1"/>
    <col min="2" max="2" width="23.5703125" customWidth="1"/>
    <col min="3" max="3" width="17.85546875" customWidth="1"/>
  </cols>
  <sheetData>
    <row r="1" spans="1:3" x14ac:dyDescent="0.25">
      <c r="A1" t="s">
        <v>84</v>
      </c>
      <c r="B1" t="s">
        <v>105</v>
      </c>
      <c r="C1" t="s">
        <v>1</v>
      </c>
    </row>
    <row r="2" spans="1:3" x14ac:dyDescent="0.25">
      <c r="A2" t="s">
        <v>85</v>
      </c>
      <c r="B2" t="s">
        <v>106</v>
      </c>
      <c r="C2" s="2">
        <v>398.5</v>
      </c>
    </row>
    <row r="3" spans="1:3" x14ac:dyDescent="0.25">
      <c r="A3" t="s">
        <v>86</v>
      </c>
      <c r="B3" t="s">
        <v>107</v>
      </c>
      <c r="C3" s="2">
        <v>363.5</v>
      </c>
    </row>
    <row r="4" spans="1:3" x14ac:dyDescent="0.25">
      <c r="A4" t="s">
        <v>87</v>
      </c>
      <c r="B4" t="s">
        <v>108</v>
      </c>
      <c r="C4" s="2">
        <v>399.85</v>
      </c>
    </row>
    <row r="5" spans="1:3" x14ac:dyDescent="0.25">
      <c r="A5" t="s">
        <v>88</v>
      </c>
      <c r="B5" t="s">
        <v>109</v>
      </c>
      <c r="C5" s="2">
        <v>328.5</v>
      </c>
    </row>
    <row r="6" spans="1:3" x14ac:dyDescent="0.25">
      <c r="A6" t="s">
        <v>85</v>
      </c>
      <c r="B6" t="s">
        <v>110</v>
      </c>
      <c r="C6" s="2">
        <v>398.5</v>
      </c>
    </row>
    <row r="7" spans="1:3" x14ac:dyDescent="0.25">
      <c r="A7" t="s">
        <v>86</v>
      </c>
      <c r="B7" t="s">
        <v>111</v>
      </c>
      <c r="C7" s="2">
        <v>363.5</v>
      </c>
    </row>
    <row r="8" spans="1:3" x14ac:dyDescent="0.25">
      <c r="A8" t="s">
        <v>89</v>
      </c>
      <c r="B8" t="s">
        <v>112</v>
      </c>
      <c r="C8" s="2">
        <v>492.05</v>
      </c>
    </row>
    <row r="9" spans="1:3" x14ac:dyDescent="0.25">
      <c r="A9" t="s">
        <v>90</v>
      </c>
      <c r="B9" t="s">
        <v>113</v>
      </c>
      <c r="C9" s="2">
        <v>365</v>
      </c>
    </row>
    <row r="10" spans="1:3" x14ac:dyDescent="0.25">
      <c r="A10" t="s">
        <v>91</v>
      </c>
      <c r="B10" t="s">
        <v>114</v>
      </c>
      <c r="C10" s="2">
        <v>403.5</v>
      </c>
    </row>
    <row r="11" spans="1:3" x14ac:dyDescent="0.25">
      <c r="A11" t="s">
        <v>92</v>
      </c>
      <c r="B11" t="s">
        <v>115</v>
      </c>
      <c r="C11" s="2">
        <v>363.5</v>
      </c>
    </row>
    <row r="12" spans="1:3" x14ac:dyDescent="0.25">
      <c r="A12" t="s">
        <v>93</v>
      </c>
      <c r="B12" t="s">
        <v>116</v>
      </c>
      <c r="C12" s="2">
        <v>3506.2</v>
      </c>
    </row>
    <row r="13" spans="1:3" x14ac:dyDescent="0.25">
      <c r="A13" t="s">
        <v>94</v>
      </c>
      <c r="B13" t="s">
        <v>117</v>
      </c>
      <c r="C13" s="2">
        <v>360</v>
      </c>
    </row>
    <row r="14" spans="1:3" x14ac:dyDescent="0.25">
      <c r="A14" t="s">
        <v>95</v>
      </c>
      <c r="B14" t="s">
        <v>118</v>
      </c>
      <c r="C14" s="2">
        <v>330</v>
      </c>
    </row>
    <row r="15" spans="1:3" x14ac:dyDescent="0.25">
      <c r="A15" t="s">
        <v>96</v>
      </c>
      <c r="B15" t="s">
        <v>119</v>
      </c>
      <c r="C15" s="2">
        <v>366.3</v>
      </c>
    </row>
    <row r="16" spans="1:3" x14ac:dyDescent="0.25">
      <c r="A16" t="s">
        <v>87</v>
      </c>
      <c r="B16" t="s">
        <v>120</v>
      </c>
      <c r="C16" s="2">
        <v>478.8</v>
      </c>
    </row>
    <row r="17" spans="1:3" x14ac:dyDescent="0.25">
      <c r="A17" t="s">
        <v>97</v>
      </c>
      <c r="B17" t="s">
        <v>120</v>
      </c>
      <c r="C17" s="2">
        <v>840</v>
      </c>
    </row>
    <row r="18" spans="1:3" x14ac:dyDescent="0.25">
      <c r="A18" t="s">
        <v>98</v>
      </c>
      <c r="B18" t="s">
        <v>121</v>
      </c>
      <c r="C18" s="2">
        <v>2002.19</v>
      </c>
    </row>
    <row r="19" spans="1:3" x14ac:dyDescent="0.25">
      <c r="A19" t="s">
        <v>87</v>
      </c>
      <c r="B19" t="s">
        <v>122</v>
      </c>
      <c r="C19" s="2">
        <v>1000</v>
      </c>
    </row>
    <row r="20" spans="1:3" x14ac:dyDescent="0.25">
      <c r="A20" t="s">
        <v>137</v>
      </c>
      <c r="B20" t="s">
        <v>123</v>
      </c>
      <c r="C20" s="2">
        <v>3000</v>
      </c>
    </row>
    <row r="21" spans="1:3" x14ac:dyDescent="0.25">
      <c r="A21" t="s">
        <v>99</v>
      </c>
      <c r="B21" t="s">
        <v>123</v>
      </c>
      <c r="C21" s="2">
        <v>159.9</v>
      </c>
    </row>
    <row r="22" spans="1:3" x14ac:dyDescent="0.25">
      <c r="A22" t="s">
        <v>97</v>
      </c>
      <c r="B22" t="s">
        <v>124</v>
      </c>
      <c r="C22" s="2">
        <v>2100</v>
      </c>
    </row>
    <row r="23" spans="1:3" x14ac:dyDescent="0.25">
      <c r="A23" t="s">
        <v>100</v>
      </c>
      <c r="B23" t="s">
        <v>125</v>
      </c>
      <c r="C23" s="2">
        <v>478.79</v>
      </c>
    </row>
    <row r="24" spans="1:3" x14ac:dyDescent="0.25">
      <c r="A24" t="s">
        <v>101</v>
      </c>
      <c r="B24" t="s">
        <v>126</v>
      </c>
      <c r="C24" s="2">
        <v>399.5</v>
      </c>
    </row>
    <row r="25" spans="1:3" x14ac:dyDescent="0.25">
      <c r="A25" t="s">
        <v>97</v>
      </c>
      <c r="B25" t="s">
        <v>127</v>
      </c>
      <c r="C25" s="2">
        <v>2100</v>
      </c>
    </row>
    <row r="26" spans="1:3" x14ac:dyDescent="0.25">
      <c r="A26" t="s">
        <v>98</v>
      </c>
      <c r="B26" t="s">
        <v>127</v>
      </c>
      <c r="C26" s="2">
        <v>2002.19</v>
      </c>
    </row>
    <row r="27" spans="1:3" x14ac:dyDescent="0.25">
      <c r="A27" t="s">
        <v>93</v>
      </c>
      <c r="B27" t="s">
        <v>128</v>
      </c>
      <c r="C27" s="2">
        <v>208.82</v>
      </c>
    </row>
    <row r="28" spans="1:3" x14ac:dyDescent="0.25">
      <c r="A28" t="s">
        <v>102</v>
      </c>
      <c r="B28" t="s">
        <v>129</v>
      </c>
      <c r="C28" s="2">
        <v>500</v>
      </c>
    </row>
    <row r="29" spans="1:3" x14ac:dyDescent="0.25">
      <c r="A29" t="s">
        <v>97</v>
      </c>
      <c r="B29" t="s">
        <v>130</v>
      </c>
      <c r="C29" s="2">
        <v>2100</v>
      </c>
    </row>
    <row r="30" spans="1:3" x14ac:dyDescent="0.25">
      <c r="A30" t="s">
        <v>102</v>
      </c>
      <c r="B30" t="s">
        <v>131</v>
      </c>
      <c r="C30" s="2">
        <v>500</v>
      </c>
    </row>
    <row r="31" spans="1:3" x14ac:dyDescent="0.25">
      <c r="A31" t="s">
        <v>103</v>
      </c>
      <c r="B31" t="s">
        <v>132</v>
      </c>
      <c r="C31" s="2">
        <v>540</v>
      </c>
    </row>
    <row r="32" spans="1:3" x14ac:dyDescent="0.25">
      <c r="A32" t="s">
        <v>104</v>
      </c>
      <c r="B32" t="s">
        <v>133</v>
      </c>
      <c r="C32" s="2">
        <v>191.4</v>
      </c>
    </row>
    <row r="33" spans="1:3" x14ac:dyDescent="0.25">
      <c r="A33" t="s">
        <v>99</v>
      </c>
      <c r="B33" t="s">
        <v>133</v>
      </c>
      <c r="C33" s="2">
        <v>159.9</v>
      </c>
    </row>
    <row r="34" spans="1:3" x14ac:dyDescent="0.25">
      <c r="A34" t="s">
        <v>137</v>
      </c>
      <c r="B34" t="s">
        <v>133</v>
      </c>
      <c r="C34" s="2">
        <v>3000</v>
      </c>
    </row>
    <row r="35" spans="1:3" x14ac:dyDescent="0.25">
      <c r="A35" t="s">
        <v>97</v>
      </c>
      <c r="B35" t="s">
        <v>134</v>
      </c>
      <c r="C35" s="2">
        <v>2100</v>
      </c>
    </row>
    <row r="36" spans="1:3" x14ac:dyDescent="0.25">
      <c r="A36" t="s">
        <v>98</v>
      </c>
      <c r="B36" t="s">
        <v>134</v>
      </c>
      <c r="C36" s="2">
        <v>2002.19</v>
      </c>
    </row>
    <row r="37" spans="1:3" x14ac:dyDescent="0.25">
      <c r="A37" t="s">
        <v>89</v>
      </c>
      <c r="B37" t="s">
        <v>135</v>
      </c>
      <c r="C37" s="2">
        <v>590.46</v>
      </c>
    </row>
    <row r="38" spans="1:3" x14ac:dyDescent="0.25">
      <c r="A38" t="s">
        <v>102</v>
      </c>
      <c r="B38" t="s">
        <v>136</v>
      </c>
      <c r="C38" s="2">
        <v>500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C2115C-6424-4416-8610-49C859DF06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Faturamento</vt:lpstr>
      <vt:lpstr>Receita Operacional</vt:lpstr>
      <vt:lpstr>Saldos</vt:lpstr>
      <vt:lpstr>DFC</vt:lpstr>
      <vt:lpstr>Inadimplência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Willian Viana Silva</dc:creator>
  <cp:lastModifiedBy>Lucas Willian Viana Silva</cp:lastModifiedBy>
  <dcterms:created xsi:type="dcterms:W3CDTF">2026-08-20T18:53:46Z</dcterms:created>
  <dcterms:modified xsi:type="dcterms:W3CDTF">2026-08-24T18:12:36Z</dcterms:modified>
</cp:coreProperties>
</file>